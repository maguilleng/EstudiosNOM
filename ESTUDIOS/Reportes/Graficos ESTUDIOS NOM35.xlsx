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xl/drawings/drawing3.xml" ContentType="application/vnd.openxmlformats-officedocument.drawing+xml"/>
  <Override PartName="/xl/tables/table11.xml" ContentType="application/vnd.openxmlformats-officedocument.spreadsheetml.table+xml"/>
  <Override PartName="/xl/queryTables/queryTable10.xml" ContentType="application/vnd.openxmlformats-officedocument.spreadsheetml.queryTable+xml"/>
  <Override PartName="/xl/tables/table12.xml" ContentType="application/vnd.openxmlformats-officedocument.spreadsheetml.table+xml"/>
  <Override PartName="/xl/queryTables/queryTable11.xml" ContentType="application/vnd.openxmlformats-officedocument.spreadsheetml.queryTable+xml"/>
  <Override PartName="/xl/tables/table13.xml" ContentType="application/vnd.openxmlformats-officedocument.spreadsheetml.table+xml"/>
  <Override PartName="/xl/queryTables/queryTable12.xml" ContentType="application/vnd.openxmlformats-officedocument.spreadsheetml.queryTab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SidePro\NOM\EstudiosNOM\ESTUDIOS\Reportes\"/>
    </mc:Choice>
  </mc:AlternateContent>
  <xr:revisionPtr revIDLastSave="0" documentId="13_ncr:1_{18332F17-11C5-4ED4-AEC2-AAA1EFCA0612}" xr6:coauthVersionLast="47" xr6:coauthVersionMax="47" xr10:uidLastSave="{00000000-0000-0000-0000-000000000000}"/>
  <bookViews>
    <workbookView xWindow="38280" yWindow="-120" windowWidth="38640" windowHeight="21120" tabRatio="751" firstSheet="1" activeTab="1" xr2:uid="{00000000-000D-0000-FFFF-FFFF00000000}"/>
  </bookViews>
  <sheets>
    <sheet name="Datos" sheetId="1" state="hidden" r:id="rId1"/>
    <sheet name="Matriz GuiaV" sheetId="3" r:id="rId2"/>
    <sheet name="AtencionClinica (Guia I)" sheetId="2" r:id="rId3"/>
    <sheet name="Exposición Homogenea (Guia II) " sheetId="4" r:id="rId4"/>
    <sheet name="Graficas Anexo 2 (Guia II)" sheetId="5" r:id="rId5"/>
    <sheet name="Exposición Homogenea (Guia III)" sheetId="7" r:id="rId6"/>
    <sheet name="Graficas Guia de Referencia III" sheetId="6" r:id="rId7"/>
  </sheets>
  <definedNames>
    <definedName name="Consulta_desde_CategoriaGuiaII" localSheetId="4" hidden="1">'Graficas Anexo 2 (Guia II)'!$A$115:$F$119</definedName>
    <definedName name="Consulta_desde_CategoriaGuiaII" localSheetId="1" hidden="1">'Matriz GuiaV'!$A$8:$P$16</definedName>
    <definedName name="Consulta_desde_CategoriaGuiaII_1" localSheetId="4" hidden="1">'Graficas Anexo 2 (Guia II)'!$I$115:$N$119</definedName>
    <definedName name="Consulta_desde_Categorias_GUIAIII" localSheetId="6" hidden="1">'Graficas Guia de Referencia III'!$A$164:$F$165</definedName>
    <definedName name="Consulta_desde_Cuestionario_GUIAIII" localSheetId="6" hidden="1">'Graficas Guia de Referencia III'!$A$188:$F$189</definedName>
    <definedName name="Consulta_desde_CuestionarioGUIAII" localSheetId="4" hidden="1">'Graficas Anexo 2 (Guia II)'!#REF!</definedName>
    <definedName name="Consulta_desde_CuestionarioGUIAII_1" localSheetId="4" hidden="1">'Graficas Anexo 2 (Guia II)'!$A$142:$F$143</definedName>
    <definedName name="Consulta_desde_Dominios_GUIAIII" localSheetId="6" hidden="1">'Graficas Guia de Referencia III'!$A$108:$F$109</definedName>
    <definedName name="Consulta_desde_ESTUDIOS" localSheetId="0" hidden="1">Datos!$D$4:$E$36</definedName>
    <definedName name="Consulta_desde_Estudios" localSheetId="1" hidden="1">'Matriz GuiaV'!#REF!</definedName>
    <definedName name="Consulta_desde_Graficas_Anexo2" localSheetId="4" hidden="1">'Graficas Anexo 2 (Guia II)'!$A$67:$F$75</definedName>
    <definedName name="Consulta_desde_Matriz_Homogenea" localSheetId="3" hidden="1">'Exposición Homogenea (Guia II) '!$A$4:$L$13</definedName>
    <definedName name="Consulta_desde_Matriz_Homogenea_GUIA_III" localSheetId="5" hidden="1">'Exposición Homogenea (Guia III)'!$A$4:$O$13</definedName>
    <definedName name="Consulta_desde_MatrizNOM35" localSheetId="1" hidden="1">'Matriz GuiaV'!#REF!</definedName>
    <definedName name="Consulta_desde_TEST" localSheetId="0" hidden="1">Datos!#REF!</definedName>
    <definedName name="Consulta_desde_ValoracionClinica" localSheetId="0" hidden="1">Datos!#REF!</definedName>
    <definedName name="Consulta_desde_ValoracionClinica_1" localSheetId="0" hidden="1">Datos!$A$4:$B$5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8" i="5" l="1"/>
  <c r="J68" i="5" s="1"/>
  <c r="G69" i="5"/>
  <c r="K69" i="5" s="1"/>
  <c r="G70" i="5"/>
  <c r="K70" i="5" s="1"/>
  <c r="G71" i="5"/>
  <c r="K71" i="5" s="1"/>
  <c r="G72" i="5"/>
  <c r="K72" i="5" s="1"/>
  <c r="G73" i="5"/>
  <c r="N73" i="5" s="1"/>
  <c r="G74" i="5"/>
  <c r="L74" i="5" s="1"/>
  <c r="G75" i="5"/>
  <c r="J75" i="5" s="1"/>
  <c r="G116" i="5"/>
  <c r="G117" i="5"/>
  <c r="G118" i="5"/>
  <c r="G119" i="5"/>
  <c r="G143" i="5"/>
  <c r="O109" i="6"/>
  <c r="M110" i="6"/>
  <c r="M111" i="6"/>
  <c r="K112" i="6"/>
  <c r="M113" i="6"/>
  <c r="M114" i="6"/>
  <c r="K115" i="6"/>
  <c r="K116" i="6"/>
  <c r="M117" i="6"/>
  <c r="M118" i="6"/>
  <c r="K176" i="6"/>
  <c r="M178" i="6"/>
  <c r="N174" i="6"/>
  <c r="L175" i="6"/>
  <c r="L177" i="6"/>
  <c r="O202" i="6"/>
  <c r="K143" i="5"/>
  <c r="H21" i="2"/>
  <c r="F21" i="2"/>
  <c r="N68" i="5" l="1"/>
  <c r="M68" i="5"/>
  <c r="L72" i="5"/>
  <c r="M72" i="5"/>
  <c r="J72" i="5"/>
  <c r="N177" i="6"/>
  <c r="L174" i="6"/>
  <c r="M70" i="5"/>
  <c r="L68" i="5"/>
  <c r="N72" i="5"/>
  <c r="K68" i="5"/>
  <c r="J73" i="5"/>
  <c r="K73" i="5"/>
  <c r="M69" i="5"/>
  <c r="M177" i="6"/>
  <c r="L178" i="6"/>
  <c r="K177" i="6"/>
  <c r="J177" i="6"/>
  <c r="M109" i="6"/>
  <c r="N176" i="6"/>
  <c r="J176" i="6"/>
  <c r="L176" i="6"/>
  <c r="M176" i="6"/>
  <c r="L109" i="6"/>
  <c r="O176" i="6"/>
  <c r="J178" i="6"/>
  <c r="L202" i="6"/>
  <c r="O177" i="6"/>
  <c r="M174" i="6"/>
  <c r="N70" i="5"/>
  <c r="K118" i="6"/>
  <c r="J115" i="6"/>
  <c r="K114" i="6"/>
  <c r="L110" i="6"/>
  <c r="O118" i="6"/>
  <c r="J118" i="6"/>
  <c r="O114" i="6"/>
  <c r="J114" i="6"/>
  <c r="K110" i="6"/>
  <c r="N118" i="6"/>
  <c r="N115" i="6"/>
  <c r="N114" i="6"/>
  <c r="O110" i="6"/>
  <c r="J110" i="6"/>
  <c r="L118" i="6"/>
  <c r="M115" i="6"/>
  <c r="L114" i="6"/>
  <c r="N110" i="6"/>
  <c r="N175" i="6"/>
  <c r="K174" i="6"/>
  <c r="O174" i="6"/>
  <c r="O178" i="6"/>
  <c r="K178" i="6"/>
  <c r="M175" i="6"/>
  <c r="J174" i="6"/>
  <c r="L117" i="6"/>
  <c r="N116" i="6"/>
  <c r="J116" i="6"/>
  <c r="L115" i="6"/>
  <c r="L113" i="6"/>
  <c r="N112" i="6"/>
  <c r="J112" i="6"/>
  <c r="L111" i="6"/>
  <c r="J202" i="6"/>
  <c r="N178" i="6"/>
  <c r="K175" i="6"/>
  <c r="O117" i="6"/>
  <c r="K117" i="6"/>
  <c r="M116" i="6"/>
  <c r="O115" i="6"/>
  <c r="O113" i="6"/>
  <c r="K113" i="6"/>
  <c r="M112" i="6"/>
  <c r="O111" i="6"/>
  <c r="K111" i="6"/>
  <c r="J175" i="6"/>
  <c r="N117" i="6"/>
  <c r="J117" i="6"/>
  <c r="L116" i="6"/>
  <c r="N113" i="6"/>
  <c r="J113" i="6"/>
  <c r="L112" i="6"/>
  <c r="N111" i="6"/>
  <c r="J111" i="6"/>
  <c r="O175" i="6"/>
  <c r="O116" i="6"/>
  <c r="O112" i="6"/>
  <c r="N109" i="6"/>
  <c r="J109" i="6"/>
  <c r="K109" i="6"/>
  <c r="M202" i="6"/>
  <c r="N202" i="6"/>
  <c r="K202" i="6"/>
  <c r="K75" i="5"/>
  <c r="L73" i="5"/>
  <c r="K74" i="5"/>
  <c r="M74" i="5"/>
  <c r="J71" i="5"/>
  <c r="N74" i="5"/>
  <c r="L70" i="5"/>
  <c r="J74" i="5"/>
  <c r="J70" i="5"/>
  <c r="J69" i="5"/>
  <c r="M73" i="5"/>
  <c r="N69" i="5"/>
  <c r="L69" i="5"/>
  <c r="M143" i="5"/>
  <c r="N143" i="5"/>
  <c r="J143" i="5"/>
  <c r="L143" i="5"/>
  <c r="O143" i="5"/>
  <c r="N75" i="5"/>
  <c r="N71" i="5"/>
  <c r="M75" i="5"/>
  <c r="M71" i="5"/>
  <c r="L75" i="5"/>
  <c r="L71" i="5"/>
  <c r="N119" i="5"/>
  <c r="O117" i="5"/>
  <c r="O118" i="5"/>
  <c r="J117" i="5"/>
  <c r="O116" i="5"/>
  <c r="M117" i="5"/>
  <c r="L118" i="5"/>
  <c r="N116" i="5"/>
  <c r="M116" i="5"/>
  <c r="L116" i="5"/>
  <c r="K116" i="5"/>
  <c r="J116" i="5"/>
  <c r="K117" i="5" l="1"/>
  <c r="M118" i="5"/>
  <c r="K119" i="5"/>
  <c r="K118" i="5"/>
  <c r="N118" i="5"/>
  <c r="J118" i="5"/>
  <c r="J119" i="5"/>
  <c r="L117" i="5"/>
  <c r="N117" i="5"/>
  <c r="O119" i="5"/>
  <c r="M119" i="5"/>
  <c r="L119" i="5"/>
  <c r="O70" i="5" l="1"/>
  <c r="O74" i="5"/>
  <c r="B3" i="3"/>
  <c r="O75" i="5" l="1"/>
  <c r="O72" i="5"/>
  <c r="O71" i="5"/>
  <c r="O69" i="5"/>
  <c r="O73" i="5"/>
  <c r="O68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131D22-408F-426A-AC67-B4A316CD442C}" keepAlive="1" name="Consulta - Tabla_Consulta_desde_Matriz_Homogenea" description="Conexión a la consulta 'Tabla_Consulta_desde_Matriz_Homogenea' en el libro." type="5" refreshedVersion="7" background="1" saveData="1">
    <dbPr connection="Provider=Microsoft.Mashup.OleDb.1;Data Source=$Workbook$;Location=Tabla_Consulta_desde_Matriz_Homogenea;Extended Properties=&quot;&quot;" command="SELECT * FROM [Tabla_Consulta_desde_Matriz_Homogenea]"/>
  </connection>
  <connection id="2" xr16:uid="{00000000-0015-0000-FFFF-FFFF00000000}" name="Consulta desde CategoriaGuiaII" type="1" refreshedVersion="8" savePassword="1" background="1" saveData="1">
    <dbPr connection="DRIVER=SQL Server Native Client 11.0;SERVER=tcp:sql5106.site4now.net,1433;UID=db_acdbf9_nom35_admin;PWD=ClsC0nsult0r3s#;APP=Microsoft Office;WSID=LAPTOP-T2N83NE5;DATABASE=db_acdbf9_nom35;" command="select Instalacion_oficina_taller as Instalacion, Nombre, FechaEvaluacion,Nombre, Sexo, Edad, EstadoCivil,NivelEstudio, TipoContratacion,_x000d__x000a_ExperienciaLaboral, AntiguedadPuesto, case RotaTurnos when 0 then 'NO' when 1 then 'SI' end [Rota Turnos],Puesto_Categoria, Departamento_Area, TipoPersonal, TipoJornada, TipoPuesto _x000d__x000a_from TRABAJADORES_ESTUDIO T0_x000d__x000a_where IDEstudio = ?"/>
    <parameters count="1">
      <parameter name="Parámetro1" parameterType="cell" refreshOnChange="1" cell="'Matriz GuiaV'!$B$3"/>
    </parameters>
  </connection>
  <connection id="3" xr16:uid="{00000000-0015-0000-FFFF-FFFF01000000}" name="Consulta desde CategoriaGuiaII1" type="1" refreshedVersion="6" savePassword="1" deleted="1" background="1" saveData="1">
    <dbPr connection="" command=""/>
    <parameters count="1">
      <parameter name="Parámetro1" parameterType="cell" refreshOnChange="1" cell="'Matriz GuiaV'!$B$3"/>
    </parameters>
  </connection>
  <connection id="4" xr16:uid="{00000000-0015-0000-FFFF-FFFF02000000}" name="Consulta desde CategoriaGuiaII2" type="1" refreshedVersion="8" savePassword="1" background="1" saveData="1">
    <dbPr connection="DRIVER=SQL Server Native Client 11.0;SERVER=tcp:sql5106.site4now.net,1433;UID=db_acdbf9_nom35_admin;PWD=ClsC0nsult0r3s#;APP=Microsoft Office;WSID=LAPTOP-T2N83NE5;DATABASE=db_acdbf9_nom35;" command="SELECT Categoria, SUM([NULO]) [NULO], SUM([BAJO]) [BAJO], SUM([MEDIO]) [MEDIO], SUM([ALTO]) [ALTO], sum([MUY ALTO]) [MUY ALTO]_x000d__x000a_FROM   _x000d__x000a_(_x000d__x000a_Select t3.Nombre, t0.idempleado, SUM(Valor) Valor, t3.IDEstudio_x000d__x000a_,  case when SUM(Valor) &lt; 3 then 'NULO' _x000d__x000a_when SUM(Valor) &gt;= 3 and SUM(Valor) &lt; 5 then 'BAJO' _x000d__x000a_when SUM(Valor) &gt;= 5 and SUM(Valor) &lt; 7 then 'MEDIO' _x000d__x000a_when SUM(Valor) &gt;= 7 and SUM(Valor) &lt; 9 then 'ALTO' _x000d__x000a_when SUM(Valor) &gt;= 9  then 'MUY ALTO' _x000d__x000a_end [Resultado del Categoria], 'Ambiente de trabajo' Categoria_x000d__x000a_from NOM_RESULTADOS T0_x000d__x000a_INNER JOIN NOM_RESPUESTAS T1 on T0.IDRespuesta = T1.IDRespuesta_x000d__x000a_inner join TRABAJADORES_ESTUDIO T3 on T3.IDTrabajador = t0.IDEmpleado_x000d__x000a_left JOIN NOM_PREGUNTAS T2 on T0.IDPregunta = T2.IDPregunta_x000d__x000a_where T2.Indice in (1,2,3) and t0.IDApartado = 8_x000d__x000a_group by t0.IDEmpleado, t3.Nombre, IDEstudio_x000d__x000a_ _x000d__x000a_ union all_x000d__x000a__x000d__x000a_ Select t3.Nombre, t0.idempleado, SUM(Valor) Valor, t3.IDEstudio_x000d__x000a_,  case when SUM(Valor) &lt; 10 then 'NULO' _x000d__x000a_when SUM(Valor) &gt;= 10 and SUM(Valor) &lt; 20 then 'BAJO' _x000d__x000a_when SUM(Valor) &gt;= 20 and SUM(Valor) &lt; 30 then 'MEDIO' _x000d__x000a_when SUM(Valor) &gt;= 30 and SUM(Valor) &lt; 40 then 'ALTO' _x000d__x000a_when SUM(Valor) &gt;= 40  then 'MUY ALTO' _x000d__x000a_end [Resultado del Categoria], 'Factores propios de la actividad' Categoria_x000d__x000a_from NOM_RESULTADOS T0_x000d__x000a_INNER JOIN NOM_RESPUESTAS T1 on T0.IDRespuesta = T1.IDRespuesta_x000d__x000a_inner join TRABAJADORES_ESTUDIO T3 on T3.IDTrabajador = t0.IDEmpleado_x000d__x000a_left JOIN NOM_PREGUNTAS T2 on T0.IDPregunta = T2.IDPregunta_x000d__x000a_where T2.Indice in (4,9,5,6,7,8,41,42,43,10,11,12,13,20,21,22,18,19,16,27) and t0.IDApartado = 8_x000d__x000a_group by t0.IDEmpleado, t3.Nombre, IDEstudio_x000d__x000a__x000d__x000a_union all_x000d__x000a__x000d__x000a_ Select t3.Nombre, t0.idempleado, SUM(Valor) Valor, t3.IDEstudio_x000d__x000a_,  case when SUM(Valor) &lt; 4 then 'NULO' _x000d__x000a_when SUM(Valor) &gt;= 4 and SUM(Valor) &lt; 6 then 'BAJO' _x000d__x000a_when SUM(Valor) &gt;= 6 and SUM(Valor) &lt; 9 then 'MEDIO' _x000d__x000a_when SUM(Valor) &gt;= 9 and SUM(Valor) &lt; 12 then 'ALTO' _x000d__x000a_when SUM(Valor) &gt;= 12  then 'MUY ALTO' _x000d__x000a_end [Resultado del Categoria], 'Organización del tiempo de trabajo' Categoria_x000d__x000a_from NOM_RESULTADOS T0_x000d__x000a_INNER JOIN NOM_RESPUESTAS T1 on T0.IDRespuesta = T1.IDRespuesta_x000d__x000a_inner join TRABAJADORES_ESTUDIO T3 on T3.IDTrabajador = t0.IDEmpleado_x000d__x000a_left JOIN NOM_PREGUNTAS T2 on T0.IDPregunta = T2.IDPregunta_x000d__x000a_where T2.Indice in (14,15,16,17) and t0.IDApartado = 8_x000d__x000a_group by t0.IDEmpleado, t3.Nombre, IDEstudio_x000d__x000a__x000d__x000a_union all_x000d__x000a__x000d__x000a_ Select t3.Nombre, t0.idempleado, SUM(Valor) Valor, t3.IDEstudio_x000d__x000a_,  case when SUM(Valor) &lt; 10 then 'NULO' _x000d__x000a_when SUM(Valor) &gt;= 10 and SUM(Valor) &lt; 18 then 'BAJO' _x000d__x000a_when SUM(Valor) &gt;= 18 and SUM(Valor) &lt; 28 then 'MEDIO' _x000d__x000a_when SUM(Valor) &gt;= 28 and SUM(Valor) &lt; 38 then 'ALTO' _x000d__x000a_when SUM(Valor) &gt;= 38  then 'MUY ALTO' _x000d__x000a_end [Resultado del Categoria], 'Liderazgo y relaciones en el trabajo' Categoria_x000d__x000a_from NOM_RESULTADOS T0_x000d__x000a_INNER JOIN NOM_RESPUESTAS T1 on T0.IDRespuesta = T1.IDRespuesta_x000d__x000a_inner join TRABAJADORES_ESTUDIO T3 on T3.IDTrabajador = t0.IDEmpleado_x000d__x000a_left JOIN NOM_PREGUNTAS T2 on T0.IDPregunta = T2.IDPregunta_x000d__x000a_where T2.Indice in (23,24,25,28,29,30,31,32,44,45,46,33,34,35,36,37,38,39,40) and t0.IDApartado = 8_x000d__x000a_group by t0.IDEmpleado, t3.Nombre, IDEstudio_x000d__x000a_) p  _x000d__x000a_PIVOT  _x000d__x000a_(  _x000d__x000a_count ([Resultado del Categoria])  _x000d__x000a_FOR [Resultado del Categoria] IN  _x000d__x000a_([NULO],[BAJO],[MEDIO],[ALTO],[MUY ALTO])  _x000d__x000a_) AS pvt  _x000d__x000a_where IDEstudio = ?_x000d__x000a_group by Categoria, IDEstudio"/>
    <parameters count="1">
      <parameter name="Parámetro1" parameterType="cell" refreshOnChange="1" cell="'Matriz GuiaV'!$B$3"/>
    </parameters>
  </connection>
  <connection id="5" xr16:uid="{C70AEC5A-EE61-4C5D-BF8D-38098B459793}" name="Consulta desde Categorias_GUIAIII" type="1" refreshedVersion="8" savePassword="1" background="1" saveData="1">
    <dbPr connection="DRIVER=SQL Server Native Client 11.0;SERVER=tcp:sql5106.site4now.net,1433;UID=db_acdbf9_nom35_admin;PWD=ClsC0nsult0r3s#;APP=Microsoft Office;WSID=LAPTOP-T2N83NE5;DATABASE=db_acdbf9_nom35;" command="SELECT Categoria, SUM([NULO]) [NULO], SUM([BAJO]) [BAJO], SUM([MEDIO]) [MEDIO], SUM([ALTO]) [ALTO], sum([MUY ALTO]) [MUY ALTO]_x000d__x000a_FROM   _x000d__x000a_(_x000d__x000a_Select t3.Nombre, t0.idempleado, SUM(Valor) Valor, t3.IDEstudio_x000d__x000a_,  case when SUM(Valor) &lt; 5 then 'NULO' _x000d__x000a_when SUM(Valor) &gt;= 5 and SUM(Valor) &lt; 9 then 'BAJO' _x000d__x000a_when SUM(Valor) &gt;= 9 and SUM(Valor) &lt; 11 then 'MEDIO' _x000d__x000a_when SUM(Valor) &gt;= 11 and SUM(Valor) &lt; 14 then 'ALTO' _x000d__x000a_when SUM(Valor) &gt;= 14  then 'MUY ALTO' _x000d__x000a_end [Resultado del Categoria], 'Ambiente de trabajo' Categoria_x000d__x000a_from NOM_RESULTADOS T0_x000d__x000a_INNER JOIN NOM_RESPUESTAS T1 on T0.IDRespuesta = T1.IDRespuesta_x000d__x000a_inner join TRABAJADORES_ESTUDIO T3 on T3.IDTrabajador = t0.IDEmpleado_x000d__x000a_left JOIN NOM_PREGUNTAS T2 on T0.IDPregunta = T2.IDPregunta_x000d__x000a_where T2.Indice in (1,2,3,4,5) and t0.IDApartado = 9_x000d__x000a_group by t0.IDEmpleado, t3.Nombre, IDEstudio_x000d__x000a_ _x000d__x000a_ union all_x000d__x000a__x000d__x000a_ Select t3.Nombre, t0.idempleado, SUM(Valor) Valor, t3.IDEstudio_x000d__x000a_,  case when SUM(Valor) &lt; 15 then 'NULO' _x000d__x000a_when SUM(Valor) &gt;= 15 and SUM(Valor) &lt; 30 then 'BAJO' _x000d__x000a_when SUM(Valor) &gt;= 30 and SUM(Valor) &lt; 45 then 'MEDIO' _x000d__x000a_when SUM(Valor) &gt;= 45 and SUM(Valor) &lt; 60 then 'ALTO' _x000d__x000a_when SUM(Valor) &gt;= 60  then 'MUY ALTO' _x000d__x000a_end [Resultado del Categoria], 'Factores propios de la actividad' Categoria_x000d__x000a_from NOM_RESULTADOS T0_x000d__x000a_INNER JOIN NOM_RESPUESTAS T1 on T0.IDRespuesta = T1.IDRespuesta_x000d__x000a_inner join TRABAJADORES_ESTUDIO T3 on T3.IDTrabajador = t0.IDEmpleado_x000d__x000a_left JOIN NOM_PREGUNTAS T2 on T0.IDPregunta = T2.IDPregunta_x000d__x000a_where T2.Indice in (6,12,7,8,9,10,11,65,66,67,68,13,14,15,16,25,26,27,28,23,24,29,30,35,36) and t0.IDApartado = 9_x000d__x000a_group by t0.IDEmpleado, t3.Nombre, IDEstudio_x000d__x000a__x000d__x000a_union all_x000d__x000a__x000d__x000a_ Select t3.Nombre, t0.idempleado, SUM(Valor) Valor, t3.IDEstudio_x000d__x000a_,  case when SUM(Valor) &lt; 5 then 'NULO' _x000d__x000a_when SUM(Valor) &gt;= 5 and SUM(Valor) &lt; 7 then 'BAJO' _x000d__x000a_when SUM(Valor) &gt;= 7 and SUM(Valor) &lt; 10 then 'MEDIO' _x000d__x000a_when SUM(Valor) &gt;= 10 and SUM(Valor) &lt; 13 then 'ALTO' _x000d__x000a_when SUM(Valor) &gt;= 13  then 'MUY ALTO' _x000d__x000a_end [Resultado del Categoria], 'Organización del tiempo de trabajo' Categoria_x000d__x000a_from NOM_RESULTADOS T0_x000d__x000a_INNER JOIN NOM_RESPUESTAS T1 on T0.IDRespuesta = T1.IDRespuesta_x000d__x000a_inner join TRABAJADORES_ESTUDIO T3 on T3.IDTrabajador = t0.IDEmpleado_x000d__x000a_left JOIN NOM_PREGUNTAS T2 on T0.IDPregunta = T2.IDPregunta_x000d__x000a_where T2.Indice in (17,18,19,20,21,22) and t0.IDApartado = 9_x000d__x000a_group by t0.IDEmpleado, t3.Nombre, IDEstudio_x000d__x000a__x000d__x000a_union all_x000d__x000a__x000d__x000a_ Select t3.Nombre, t0.idempleado, SUM(Valor) Valor, t3.IDEstudio_x000d__x000a_,  case when SUM(Valor) &lt; 14 then 'NULO' _x000d__x000a_when SUM(Valor) &gt;= 14 and SUM(Valor) &lt; 29 then 'BAJO' _x000d__x000a_when SUM(Valor) &gt;= 29 and SUM(Valor) &lt; 42 then 'MEDIO' _x000d__x000a_when SUM(Valor) &gt;= 42 and SUM(Valor) &lt; 58 then 'ALTO' _x000d__x000a_when SUM(Valor) &gt;= 58  then 'MUY ALTO' _x000d__x000a_end [Resultado del Categoria], 'Liderazgo y relaciones en el trabajo' Categoria_x000d__x000a_from NOM_RESULTADOS T0_x000d__x000a_INNER JOIN NOM_RESPUESTAS T1 on T0.IDRespuesta = T1.IDRespuesta_x000d__x000a_inner join TRABAJADORES_ESTUDIO T3 on T3.IDTrabajador = t0.IDEmpleado_x000d__x000a_left JOIN NOM_PREGUNTAS T2 on T0.IDPregunta = T2.IDPregunta_x000d__x000a_where T2.Indice in (31,32,33,34,37,38,39,40,41,69,70,71,72,57,58,59,60,61,62,63,64) and t0.IDApartado = 9_x000d__x000a_group by t0.IDEmpleado, t3.Nombre, IDEstudio_x000d__x000a__x000d__x000a_union all_x000d__x000a__x000d__x000a_ Select t3.Nombre, t0.idempleado, SUM(Valor) Valor, t3.IDEstudio_x000d__x000a_,  case when SUM(Valor) &lt; 10 then 'NULO' _x000d__x000a_when SUM(Valor) &gt;= 10 and SUM(Valor) &lt; 14 then 'BAJO' _x000d__x000a_when SUM(Valor) &gt;= 14 and SUM(Valor) &lt; 18 then 'MEDIO' _x000d__x000a_when SUM(Valor) &gt;= 18 and SUM(Valor) &lt; 23 then 'ALTO' _x000d__x000a_when SUM(Valor) &gt;= 23  then 'MUY ALTO' _x000d__x000a_end [Resultado del Categoria], 'Entorno Organizacional' Categoria_x000d__x000a_from NOM_RESULTADOS T0_x000d__x000a_INNER JOIN NOM_RESPUESTAS T1 on T0.IDRespuesta = T1.IDRespuesta_x000d__x000a_inner join TRABAJADORES_ESTUDIO T3 on T3.IDTrabajador = t0.IDEmpleado_x000d__x000a_left JOIN NOM_PREGUNTAS T2 on T0.IDPregunta = T2.IDPregunta_x000d__x000a_where T2.Indice in (47,48,49,50,51,52,55,56,53,54) and t0.IDApartado = 9_x000d__x000a_group by t0.IDEmpleado, t3.Nombre, IDEstudio_x000d__x000a_) p  _x000d__x000a_PIVOT  _x000d__x000a_(  _x000d__x000a_count ([Resultado del Categoria])  _x000d__x000a_FOR [Resultado del Categoria] IN  _x000d__x000a_([NULO],[BAJO],[MEDIO],[ALTO],[MUY ALTO])  _x000d__x000a_) AS pvt  _x000d__x000a_where IDEstudio = ?_x000d__x000a_group by Categoria, IDEstudio"/>
    <parameters count="1">
      <parameter name="Parámetro1" parameterType="cell" refreshOnChange="1" cell="'Matriz GuiaV'!$B$3"/>
    </parameters>
  </connection>
  <connection id="6" xr16:uid="{7C177FEC-EFDD-4489-9E1C-D8D2F4561F41}" name="Consulta desde Cuestionario_GUIAIII" type="1" refreshedVersion="8" savePassword="1" background="1" saveData="1">
    <dbPr connection="DRIVER=SQL Server Native Client 11.0;SERVER=tcp:sql5106.site4now.net,1433;UID=db_acdbf9_nom35_admin;PWD=ClsC0nsult0r3s#;APP=Microsoft Office;WSID=LAPTOP-T2N83NE5;DATABASE=db_acdbf9_nom35;" command="SELECT Cuestionario, SUM([NULO]) [NULO], SUM([BAJO]) [BAJO], SUM([MEDIO]) [MEDIO], SUM([ALTO]) [ALTO], sum([MUY ALTO]) [MUY ALTO]_x000d__x000a_FROM   _x000d__x000a_(_x000d__x000a_Select t3.Nombre, t0.idempleado, SUM(Valor) Valor, t3.IDEstudio_x000d__x000a_,  case when SUM(Valor) &lt; 50 then 'NULO' _x000d__x000a_when SUM(Valor) &gt;= 50 and SUM(Valor) &lt; 75 then 'BAJO' _x000d__x000a_when SUM(Valor) &gt;= 75 and SUM(Valor) &lt; 99 then 'MEDIO' _x000d__x000a_when SUM(Valor) &gt;= 99 and SUM(Valor) &lt; 140 then 'ALTO' _x000d__x000a_when SUM(Valor) &gt;= 140 then 'MUY ALTO' _x000d__x000a_end [Resultado del Cuestionario], 'Calificación final del cuestionario_x000d__x000a_' Cuestionario_x000d__x000a_from NOM_RESULTADOS T0_x000d__x000a_INNER JOIN NOM_RESPUESTAS T1 on T0.IDRespuesta = T1.IDRespuesta_x000d__x000a_inner join TRABAJADORES_ESTUDIO T3 on T3.IDTrabajador = t0.IDEmpleado_x000d__x000a_left JOIN NOM_PREGUNTAS T2 on T0.IDPregunta = T2.IDPregunta_x000d__x000a_where T2.Indice in (1,2,3,4,5,6,12,7,8,9,10,11,65,66,67,68,13,14,15,16,25,26,27,28,23,24,29,30,35,36,17,18,19,20,21,22,31,32,33,34,37,38,39,40,41,69,70,71,72,57,58,59,60,61,62,63,64,47,48,49,50,51,52,55,56,53,54) _x000d__x000a_and t0.IDApartado = 9_x000d__x000a_group by t0.IDEmpleado, t3.Nombre, IDEstudio_x000d__x000a_) p  _x000d__x000a_PIVOT  _x000d__x000a_(  _x000d__x000a_count ([Resultado del Cuestionario])  _x000d__x000a_FOR [Resultado del Cuestionario] IN  _x000d__x000a_([NULO],[BAJO],[MEDIO],[ALTO],[MUY ALTO])  _x000d__x000a_) AS pvt  _x000d__x000a_where IDEstudio = ?_x000d__x000a_group by Cuestionario, IDEstudio"/>
    <parameters count="1">
      <parameter name="Parámetro1" parameterType="cell" refreshOnChange="1" cell="'Matriz GuiaV'!$B$3"/>
    </parameters>
  </connection>
  <connection id="7" xr16:uid="{00000000-0015-0000-FFFF-FFFF03000000}" name="Consulta desde CuestionarioGUIAII1" type="1" refreshedVersion="8" savePassword="1" background="1" saveData="1">
    <dbPr connection="DRIVER=SQL Server Native Client 11.0;SERVER=tcp:sql5106.site4now.net,1433;UID=db_acdbf9_nom35_admin;PWD=ClsC0nsult0r3s#;APP=Microsoft Office;WSID=LAPTOP-T2N83NE5;DATABASE=db_acdbf9_nom35;" command="SELECT Cuestionario, SUM([NULO]) [NULO], SUM([BAJO]) [BAJO], SUM([MEDIO]) [MEDIO], SUM([ALTO]) [ALTO], sum([MUY ALTO]) [MUY ALTO]_x000d__x000a_FROM   _x000d__x000a_(_x000d__x000a_Select t3.Nombre, t0.idempleado, SUM(Valor) Valor, t3.IDEstudio_x000d__x000a_,  case when SUM(Valor) &lt; 20 then 'NULO' _x000d__x000a_when SUM(Valor) &gt;= 20 and SUM(Valor) &lt; 45 then 'BAJO' _x000d__x000a_when SUM(Valor) &gt;= 45 and SUM(Valor) &lt; 70 then 'MEDIO' _x000d__x000a_when SUM(Valor) &gt;= 70 and SUM(Valor) &lt; 90 then 'ALTO' _x000d__x000a_when SUM(Valor) &gt;= 90 then 'MUY ALTO' _x000d__x000a_end [Resultado del Cuestionario], 'Calificación final del cuestionario_x000d__x000a_' Cuestionario_x000d__x000a_from NOM_RESULTADOS T0_x000d__x000a_INNER JOIN NOM_RESPUESTAS T1 on T0.IDRespuesta = T1.IDRespuesta_x000d__x000a_inner join TRABAJADORES_ESTUDIO T3 on T3.IDTrabajador = t0.IDEmpleado_x000d__x000a_left JOIN NOM_PREGUNTAS T2 on T0.IDPregunta = T2.IDPregunta_x000d__x000a_where T2.Indice in (1,2,3,4,9,5,6,7,8,14,15,16,17,41,42,43,10,11,12,13,20,21,22,18,19,16,27,23,24,25,28,29,30,31,32,44,45,46,33,34,35,36,37,38,39,40) and t0.IDApartado = 8_x000d__x000a_group by t0.IDEmpleado, t3.Nombre, IDEstudio_x000d__x000a_) p  _x000d__x000a_PIVOT  _x000d__x000a_(  _x000d__x000a_count ([Resultado del Cuestionario])  _x000d__x000a_FOR [Resultado del Cuestionario] IN  _x000d__x000a_([NULO],[BAJO],[MEDIO],[ALTO],[MUY ALTO])  _x000d__x000a_) AS pvt  _x000d__x000a_where IDEstudio = ?_x000d__x000a_group by Cuestionario, IDEstudio"/>
    <parameters count="1">
      <parameter name="Parámetro1" parameterType="cell" refreshOnChange="1" cell="'Matriz GuiaV'!$B$3"/>
    </parameters>
  </connection>
  <connection id="8" xr16:uid="{A60F4C70-8FE4-40F9-B8F1-7886D0386E60}" name="Consulta desde Dominios_GUIAIII" type="1" refreshedVersion="8" savePassword="1" background="1" saveData="1">
    <dbPr connection="DRIVER=SQL Server Native Client 11.0;SERVER=tcp:sql5106.site4now.net,1433;UID=db_acdbf9_nom35_admin;PWD=ClsC0nsult0r3s#;APP=Microsoft Office;WSID=LAPTOP-T2N83NE5;DATABASE=db_acdbf9_nom35;" command="SELECT Dominio, SUM([NULO]) [NULO], SUM([BAJO]) [BAJO], SUM([MEDIO]) [MEDIO], SUM([ALTO]) [ALTO], sum([MUY ALTO]) [MUY ALTO]_x000d__x000a_FROM   _x000d__x000a_(_x000d__x000a_Select t3.Nombre, t0.idempleado, SUM(Valor) Valor, t3.IDEstudio_x000d__x000a_,  case when SUM(Valor) &lt; 5 then 'NULO' _x000d__x000a_when SUM(Valor) &gt;= 5 and SUM(Valor) &lt; 9 then 'BAJO' _x000d__x000a_when SUM(Valor) &gt;= 9 and SUM(Valor) &lt; 11 then 'MEDIO' _x000d__x000a_when SUM(Valor) &gt;= 11 and SUM(Valor) &lt; 14 then 'ALTO' _x000d__x000a_when SUM(Valor) &gt;= 14 then 'MUY ALTO' _x000d__x000a_end [Resultado del Dominio], 'Condiciones en el ambiente de trabajo' Dominio_x000d__x000a_from NOM_RESULTADOS T0_x000d__x000a_INNER JOIN NOM_RESPUESTAS T1 on T0.IDRespuesta = T1.IDRespuesta_x000d__x000a_inner join TRABAJADORES_ESTUDIO T3 on T3.IDTrabajador = t0.IDEmpleado_x000d__x000a_left JOIN NOM_PREGUNTAS T2 on T0.IDPregunta = T2.IDPregunta_x000d__x000a_where T2.Indice in (1,2,3,4,5) and t0.IDApartado = 9_x000d__x000a_group by t0.IDEmpleado, t3.Nombre, IDEstudio_x000d__x000a_ _x000d__x000a_ union all_x000d__x000a__x000d__x000a_ Select t3.Nombre, t0.idempleado, SUM(Valor) Valor, t3.IDEstudio_x000d__x000a_,  case when SUM(Valor) &lt; 15 then 'NULO' _x000d__x000a_when SUM(Valor) &gt;= 15 and SUM(Valor) &lt; 21 then 'BAJO' _x000d__x000a_when SUM(Valor) &gt;= 21 and SUM(Valor) &lt; 27 then 'MEDIO' _x000d__x000a_when SUM(Valor) &gt;= 27 and SUM(Valor) &lt; 37 then 'ALTO' _x000d__x000a_when SUM(Valor) &gt;= 37  then 'MUY ALTO' _x000d__x000a_end [Resultado del Dominio], 'Carga de trabajo' Dominio_x000d__x000a_from NOM_RESULTADOS T0_x000d__x000a_INNER JOIN NOM_RESPUESTAS T1 on T0.IDRespuesta = T1.IDRespuesta_x000d__x000a_inner join TRABAJADORES_ESTUDIO T3 on T3.IDTrabajador = t0.IDEmpleado_x000d__x000a_left JOIN NOM_PREGUNTAS T2 on T0.IDPregunta = T2.IDPregunta_x000d__x000a_where T2.Indice in (6,12,7,8,9,10,11,65,66,67,68,13,14,15,16) and t0.IDApartado = 9_x000d__x000a_group by t0.IDEmpleado, t3.Nombre, IDEstudio_x000d__x000a__x000d__x000a_union all_x000d__x000a__x000d__x000a_ Select t3.Nombre, t0.idempleado, SUM(Valor) Valor, t3.IDEstudio_x000d__x000a_,  case when SUM(Valor) &lt; 11 then 'NULO' _x000d__x000a_when SUM(Valor) &gt;= 11 and SUM(Valor) &lt; 16 then 'BAJO' _x000d__x000a_when SUM(Valor) &gt;= 16 and SUM(Valor) &lt; 21 then 'MEDIO' _x000d__x000a_when SUM(Valor) &gt;= 21 and SUM(Valor) &lt; 25 then 'ALTO' _x000d__x000a_when SUM(Valor) &gt;= 25  then 'MUY ALTO' _x000d__x000a_end [Resultado del Dominio], 'Falta de control sobre el trabajo' Dominio_x000d__x000a_from NOM_RESULTADOS T0_x000d__x000a_INNER JOIN NOM_RESPUESTAS T1 on T0.IDRespuesta = T1.IDRespuesta_x000d__x000a_inner join TRABAJADORES_ESTUDIO T3 on T3.IDTrabajador = t0.IDEmpleado_x000d__x000a_left JOIN NOM_PREGUNTAS T2 on T0.IDPregunta = T2.IDPregunta_x000d__x000a_where T2.Indice in (25,26,27,28,23,24,29,30,35,36) and t0.IDApartado = 9_x000d__x000a_group by t0.IDEmpleado, t3.Nombre, IDEstudio_x000d__x000a__x000d__x000a_union all_x000d__x000a__x000d__x000a_ Select t3.Nombre, t0.idempleado, SUM(Valor) Valor, t3.IDEstudio_x000d__x000a_,  case when SUM(Valor) &lt; 1 then 'NULO' _x000d__x000a_when SUM(Valor) &gt;= 1 and SUM(Valor) &lt; 2 then 'BAJO' _x000d__x000a_when SUM(Valor) &gt;= 2 and SUM(Valor) &lt; 4 then 'MEDIO' _x000d__x000a_when SUM(Valor) &gt;= 4 and SUM(Valor) &lt; 6 then 'ALTO' _x000d__x000a_when SUM(Valor) &gt;= 6  then 'MUY ALTO' _x000d__x000a_end [Resultado del Dominio], 'Jornada de trabajo' Dominio_x000d__x000a_from NOM_RESULTADOS T0_x000d__x000a_INNER JOIN NOM_RESPUESTAS T1 on T0.IDRespuesta = T1.IDRespuesta_x000d__x000a_inner join TRABAJADORES_ESTUDIO T3 on T3.IDTrabajador = t0.IDEmpleado_x000d__x000a_left JOIN NOM_PREGUNTAS T2 on T0.IDPregunta = T2.IDPregunta_x000d__x000a_where T2.Indice in (17,18) and t0.IDApartado = 9_x000d__x000a_group by t0.IDEmpleado, t3.Nombre, IDEstudio_x000d__x000a__x000d__x000a_union all_x000d__x000a__x000d__x000a_ Select t3.Nombre, t0.idempleado, SUM(Valor) Valor, t3.IDEstudio_x000d__x000a_,  case when SUM(Valor) &lt; 4 then 'NULO' _x000d__x000a_when SUM(Valor) &gt;= 4 and SUM(Valor) &lt; 6 then 'BAJO' _x000d__x000a_when SUM(Valor) &gt;= 6 and SUM(Valor) &lt; 8 then 'MEDIO' _x000d__x000a_when SUM(Valor) &gt;= 8 and SUM(Valor) &lt; 10 then 'ALTO' _x000d__x000a_when SUM(Valor) &gt;= 10  then 'MUY ALTO' _x000d__x000a_end [Resultado del Dominio], 'Interferencia en la relación trabajo-familia' Dominio_x000d__x000a_from NOM_RESULTADOS T0_x000d__x000a_INNER JOIN NOM_RESPUESTAS T1 on T0.IDRespuesta = T1.IDRespuesta_x000d__x000a_inner join TRABAJADORES_ESTUDIO T3 on T3.IDTrabajador = t0.IDEmpleado_x000d__x000a_left JOIN NOM_PREGUNTAS T2 on T0.IDPregunta = T2.IDPregunta_x000d__x000a_where T2.Indice in (19,20,21,22) and t0.IDApartado = 9_x000d__x000a_group by t0.IDEmpleado, t3.Nombre, IDEstudio_x000d__x000a__x000d__x000a_union all_x000d__x000a__x000d__x000a_ Select t3.Nombre, t0.idempleado, SUM(Valor) Valor, t3.IDEstudio_x000d__x000a_,  case when SUM(Valor) &lt; 9 then 'NULO' _x000d__x000a_when SUM(Valor) &gt;= 9 and SUM(Valor) &lt; 12 then 'BAJO' _x000d__x000a_when SUM(Valor) &gt;= 12 and SUM(Valor) &lt; 16 then 'MEDIO' _x000d__x000a_when SUM(Valor) &gt;= 16 and SUM(Valor) &lt; 20 then 'ALTO' _x000d__x000a_when SUM(Valor) &gt;= 20  then 'MUY ALTO' _x000d__x000a_end [Resultado del Dominio], 'Liderazgo' Dominio_x000d__x000a_from NOM_RESULTADOS T0_x000d__x000a_INNER JOIN NOM_RESPUESTAS T1 on T0.IDRespuesta = T1.IDRespuesta_x000d__x000a_inner join TRABAJADORES_ESTUDIO T3 on T3.IDTrabajador = t0.IDEmpleado_x000d__x000a_left JOIN NOM_PREGUNTAS T2 on T0.IDPregunta = T2.IDPregunta_x000d__x000a_where T2.Indice in (31,32,33,34,37,38,39,40,41) and t0.IDApartado = 9_x000d__x000a_group by t0.IDEmpleado, t3.Nombre, IDEstudio_x000d__x000a__x000d__x000a_union all_x000d__x000a__x000d__x000a_ Select t3.Nombre, t0.idempleado, SUM(Valor) Valor, t3.IDEstudio_x000d__x000a_,  case when SUM(Valor) &lt; 10 then 'NULO' _x000d__x000a_when SUM(Valor) &gt;= 10 and SUM(Valor) &lt; 13 then 'BAJO' _x000d__x000a_when SUM(Valor) &gt;= 13 and SUM(Valor) &lt; 17 then 'MEDIO' _x000d__x000a_when SUM(Valor) &gt;= 17 and SUM(Valor) &lt; 21 then 'ALTO' _x000d__x000a_when SUM(Valor) &gt;= 21  then 'MUY ALTO' _x000d__x000a_end [Resultado del Dominio], 'Relaciones en el trabajo' Dominio_x000d__x000a_from NOM_RESULTADOS T0_x000d__x000a_INNER JOIN NOM_RESPUESTAS T1 on T0.IDRespuesta = T1.IDRespuesta_x000d__x000a_inner join TRABAJADORES_ESTUDIO T3 on T3.IDTrabajador = t0.IDEmpleado_x000d__x000a_left JOIN NOM_PREGUNTAS T2 on T0.IDPregunta = T2.IDPregunta_x000d__x000a_where T2.Indice in (42,43,44,45,46,69,70,71,72) and t0.IDApartado = 9_x000d__x000a_group by t0.IDEmpleado, t3.Nombre, IDEstudio_x000d__x000a__x000d__x000a_union all_x000d__x000a__x000d__x000a_ Select t3.Nombre, t0.idempleado, SUM(Valor) Valor, t3.IDEstudio_x000d__x000a_,  case when SUM(Valor) &lt; 7 then 'NULO' _x000d__x000a_when SUM(Valor) &gt;= 7 and SUM(Valor) &lt; 10 then 'BAJO' _x000d__x000a_when SUM(Valor) &gt;= 10 and SUM(Valor) &lt; 13 then 'MEDIO' _x000d__x000a_when SUM(Valor) &gt;= 13 and SUM(Valor) &lt; 16 then 'ALTO' _x000d__x000a_when SUM(Valor) &gt;= 16  then 'MUY ALTO' _x000d__x000a_end [Resultado del Dominio], 'Violencia' Dominio_x000d__x000a_from NOM_RESULTADOS T0_x000d__x000a_INNER JOIN NOM_RESPUESTAS T1 on T0.IDRespuesta = T1.IDRespuesta_x000d__x000a_inner join TRABAJADORES_ESTUDIO T3 on T3.IDTrabajador = t0.IDEmpleado_x000d__x000a_left JOIN NOM_PREGUNTAS T2 on T0.IDPregunta = T2.IDPregunta_x000d__x000a_where T2.Indice in (57,58,59,60,61,62,63,64) and t0.IDApartado = 9_x000d__x000a_group by t0.IDEmpleado, t3.Nombre, IDEstudio_x000d__x000a__x000d__x000a_union all_x000d__x000a__x000d__x000a_ Select t3.Nombre, t0.idempleado, SUM(Valor) Valor, t3.IDEstudio_x000d__x000a_,  case when SUM(Valor) &lt; 6 then 'NULO' _x000d__x000a_when SUM(Valor) &gt;= 6 and SUM(Valor) &lt; 10 then 'BAJO' _x000d__x000a_when SUM(Valor) &gt;= 10 and SUM(Valor) &lt; 14 then 'MEDIO' _x000d__x000a_when SUM(Valor) &gt;= 14 and SUM(Valor) &lt; 18 then 'ALTO' _x000d__x000a_when SUM(Valor) &gt;= 18  then 'MUY ALTO' _x000d__x000a_end [Resultado del Dominio], 'Reconocimiento del desempeño' Dominio_x000d__x000a_from NOM_RESULTADOS T0_x000d__x000a_INNER JOIN NOM_RESPUESTAS T1 on T0.IDRespuesta = T1.IDRespuesta_x000d__x000a_inner join TRABAJADORES_ESTUDIO T3 on T3.IDTrabajador = t0.IDEmpleado_x000d__x000a_left JOIN NOM_PREGUNTAS T2 on T0.IDPregunta = T2.IDPregunta_x000d__x000a_where T2.Indice in (47,48,49,50,51,52) and t0.IDApartado = 9_x000d__x000a_group by t0.IDEmpleado, t3.Nombre, IDEstudio_x000d__x000a__x000d__x000a_union all_x000d__x000a__x000d__x000a_ Select t3.Nombre, t0.idempleado, SUM(Valor) Valor, t3.IDEstudio_x000d__x000a_,  case when SUM(Valor) &lt; 4 then 'NULO' _x000d__x000a_when SUM(Valor) &gt;= 4 and SUM(Valor) &lt; 6 then 'BAJO' _x000d__x000a_when SUM(Valor) &gt;= 6 and SUM(Valor) &lt; 8 then 'MEDIO' _x000d__x000a_when SUM(Valor) &gt;= 8 and SUM(Valor) &lt; 10 then 'ALTO' _x000d__x000a_when SUM(Valor) &gt;= 10  then 'MUY ALTO' _x000d__x000a_end [Resultado del Dominio], 'Insuficiente sentido de pertenencia e inestabilidad' Dominio_x000d__x000a_from NOM_RESULTADOS T0_x000d__x000a_INNER JOIN NOM_RESPUESTAS T1 on T0.IDRespuesta = T1.IDRespuesta_x000d__x000a_inner join TRABAJADORES_ESTUDIO T3 on T3.IDTrabajador = t0.IDEmpleado_x000d__x000a_left JOIN NOM_PREGUNTAS T2 on T0.IDPregunta = T2.IDPregunta_x000d__x000a_where T2.Indice in (55,56,53,54) and t0.IDApartado = 9_x000d__x000a_group by t0.IDEmpleado, t3.Nombre, IDEstudio_x000d__x000a_) p  _x000d__x000a_PIVOT  _x000d__x000a_(  _x000d__x000a_count ([Resultado del Dominio])  _x000d__x000a_FOR [Resultado del Dominio] IN  _x000d__x000a_([NULO],[BAJO],[MEDIO],[ALTO],[MUY ALTO])  _x000d__x000a_) AS pvt  _x000d__x000a_where IDEstudio =?_x000d__x000a_group by Dominio, IDEstudio"/>
    <parameters count="1">
      <parameter name="Parámetro1" parameterType="cell" refreshOnChange="1" cell="'Matriz GuiaV'!$B$3"/>
    </parameters>
  </connection>
  <connection id="9" xr16:uid="{00000000-0015-0000-FFFF-FFFF04000000}" name="Consulta desde ESTUDIOS" type="1" refreshedVersion="8" savePassword="1" background="1" saveData="1">
    <dbPr connection="DRIVER=SQL Server Native Client 11.0;SERVER=tcp:sql5106.site4now.net,1433;UID=db_acdbf9_nom35_admin;PWD=ClsC0nsult0r3s#;APP=Microsoft Office;WSID=LAPTOP-T2N83NE5;DATABASE=db_acdbf9_nom35;" command="SELECT ESTUDIOS.Titulo, ESTUDIOS.IDEstudio AS ' '_x000d__x000a_FROM db_acdbf9_nom35.dbo.ESTUDIOS ESTUDIOS_x000d__x000a_WHERE (ESTUDIOS.Activo=1)"/>
  </connection>
  <connection id="10" xr16:uid="{00000000-0015-0000-FFFF-FFFF05000000}" name="Consulta desde Graficas Anexo2" type="1" refreshedVersion="8" savePassword="1" background="1" saveData="1">
    <dbPr connection="DRIVER=SQL Server Native Client 11.0;SERVER=tcp:sql5106.site4now.net,1433;UID=db_acdbf9_nom35_admin;PWD=ClsC0nsult0r3s#;APP=Microsoft Office;WSID=LAPTOP-T2N83NE5;DATABASE=db_acdbf9_nom35;" command="SELECT Dominio, SUM([NULO]) [NULO], SUM([BAJO]) [BAJO], SUM([MEDIO]) [MEDIO], SUM([ALTO]) [ALTO], sum([MUY ALTO]) [MUY ALTO]_x000d__x000a_FROM   _x000d__x000a_(_x000d__x000a_Select t3.Nombre, t0.idempleado, SUM(Valor) Valor, t3.IDEstudio_x000d__x000a_,  case when SUM(Valor) &lt; 3 then 'NULO' _x000d__x000a_when SUM(Valor) &gt;= 3 and SUM(Valor) &lt; 5 then 'BAJO' _x000d__x000a_when SUM(Valor) &gt;= 5 and SUM(Valor) &lt; 7 then 'MEDIO' _x000d__x000a_when SUM(Valor) &gt;= 7 and SUM(Valor) &lt; 9 then 'ALTO' _x000d__x000a_when SUM(Valor) &gt;= 9  then 'MUY ALTO' _x000d__x000a_end [Resultado del Dominio], 'Condiciones en el ambiente de trabajo' Dominio_x000d__x000a_from NOM_RESULTADOS T0_x000d__x000a_INNER JOIN NOM_RESPUESTAS T1 on T0.IDRespuesta = T1.IDRespuesta_x000d__x000a_inner join TRABAJADORES_ESTUDIO T3 on T3.IDTrabajador = t0.IDEmpleado_x000d__x000a_left JOIN NOM_PREGUNTAS T2 on T0.IDPregunta = T2.IDPregunta_x000d__x000a_where T2.Indice in (1,2,3) and t0.IDApartado = 8_x000d__x000a_group by t0.IDEmpleado, t3.Nombre, IDEstudio_x000d__x000a_ _x000d__x000a_ union all_x000d__x000a__x000d__x000a_ Select t3.Nombre, t0.idempleado, SUM(Valor) Valor, t3.IDEstudio_x000d__x000a_,  case when SUM(Valor) &lt; 12 then 'NULO' _x000d__x000a_when SUM(Valor) &gt;= 12 and SUM(Valor) &lt; 16 then 'BAJO' _x000d__x000a_when SUM(Valor) &gt;= 16 and SUM(Valor) &lt; 20 then 'MEDIO' _x000d__x000a_when SUM(Valor) &gt;= 20 and SUM(Valor) &lt; 24 then 'ALTO' _x000d__x000a_when SUM(Valor) &gt;= 24  then 'MUY ALTO' _x000d__x000a_end [Resultado del Dominio], 'Carga de trabajo' Dominio_x000d__x000a_from NOM_RESULTADOS T0_x000d__x000a_INNER JOIN NOM_RESPUESTAS T1 on T0.IDRespuesta = T1.IDRespuesta_x000d__x000a_inner join TRABAJADORES_ESTUDIO T3 on T3.IDTrabajador = t0.IDEmpleado_x000d__x000a_left JOIN NOM_PREGUNTAS T2 on T0.IDPregunta = T2.IDPregunta_x000d__x000a_where T2.Indice in (4,9,5,6,7,8,41,42,43,10,11,12,13) and t0.IDApartado = 8_x000d__x000a_group by t0.IDEmpleado, t3.Nombre, IDEstudio_x000d__x000a__x000d__x000a_union all_x000d__x000a__x000d__x000a_ Select t3.Nombre, t0.idempleado, SUM(Valor) Valor, t3.IDEstudio_x000d__x000a_,  case when SUM(Valor) &lt; 5 then 'NULO' _x000d__x000a_when SUM(Valor) &gt;= 5 and SUM(Valor) &lt; 8 then 'BAJO' _x000d__x000a_when SUM(Valor) &gt;= 8 and SUM(Valor) &lt; 11 then 'MEDIO' _x000d__x000a_when SUM(Valor) &gt;= 11 and SUM(Valor) &lt; 14 then 'ALTO' _x000d__x000a_when SUM(Valor) &gt;= 14  then 'MUY ALTO' _x000d__x000a_end [Resultado del Dominio], 'Falta de control sobre el trabajo' Dominio_x000d__x000a_from NOM_RESULTADOS T0_x000d__x000a_INNER JOIN NOM_RESPUESTAS T1 on T0.IDRespuesta = T1.IDRespuesta_x000d__x000a_inner join TRABAJADORES_ESTUDIO T3 on T3.IDTrabajador = t0.IDEmpleado_x000d__x000a_left JOIN NOM_PREGUNTAS T2 on T0.IDPregunta = T2.IDPregunta_x000d__x000a_where T2.Indice in (20,21,22,18,19,16,27) and t0.IDApartado = 8_x000d__x000a_group by t0.IDEmpleado, t3.Nombre, IDEstudio_x000d__x000a__x000d__x000a_union all_x000d__x000a__x000d__x000a_ Select t3.Nombre, t0.idempleado, SUM(Valor) Valor, t3.IDEstudio_x000d__x000a_,  case when SUM(Valor) &lt; 1 then 'NULO' _x000d__x000a_when SUM(Valor) &gt;= 1 and SUM(Valor) &lt; 2 then 'BAJO' _x000d__x000a_when SUM(Valor) &gt;= 2 and SUM(Valor) &lt; 4 then 'MEDIO' _x000d__x000a_when SUM(Valor) &gt;= 4 and SUM(Valor) &lt; 6 then 'ALTO' _x000d__x000a_when SUM(Valor) &gt;= 6  then 'MUY ALTO' _x000d__x000a_end [Resultado del Dominio], 'Jornada de trabajo' Dominio_x000d__x000a_from NOM_RESULTADOS T0_x000d__x000a_INNER JOIN NOM_RESPUESTAS T1 on T0.IDRespuesta = T1.IDRespuesta_x000d__x000a_inner join TRABAJADORES_ESTUDIO T3 on T3.IDTrabajador = t0.IDEmpleado_x000d__x000a_left JOIN NOM_PREGUNTAS T2 on T0.IDPregunta = T2.IDPregunta_x000d__x000a_where T2.Indice in (14,15) and t0.IDApartado = 8_x000d__x000a_group by t0.IDEmpleado, t3.Nombre, IDEstudio_x000d__x000a__x000d__x000a_union all_x000d__x000a__x000d__x000a_ Select t3.Nombre, t0.idempleado, SUM(Valor) Valor, t3.IDEstudio_x000d__x000a_,  case when SUM(Valor) &lt; 1 then 'NULO' _x000d__x000a_when SUM(Valor) &gt;= 1 and SUM(Valor) &lt; 2 then 'BAJO' _x000d__x000a_when SUM(Valor) &gt;= 2 and SUM(Valor) &lt; 4 then 'MEDIO' _x000d__x000a_when SUM(Valor) &gt;= 4 and SUM(Valor) &lt; 6 then 'ALTO' _x000d__x000a_when SUM(Valor) &gt;= 6  then 'MUY ALTO' _x000d__x000a_end [Resultado del Dominio], 'Interferencia en la relación trabajo-familia' Dominio_x000d__x000a_from NOM_RESULTADOS T0_x000d__x000a_INNER JOIN NOM_RESPUESTAS T1 on T0.IDRespuesta = T1.IDRespuesta_x000d__x000a_inner join TRABAJADORES_ESTUDIO T3 on T3.IDTrabajador = t0.IDEmpleado_x000d__x000a_left JOIN NOM_PREGUNTAS T2 on T0.IDPregunta = T2.IDPregunta_x000d__x000a_where T2.Indice in (16,17) and t0.IDApartado = 8_x000d__x000a_group by t0.IDEmpleado, t3.Nombre, IDEstudio_x000d__x000a__x000d__x000a_union all_x000d__x000a__x000d__x000a_ Select t3.Nombre, t0.idempleado, SUM(Valor) Valor, t3.IDEstudio_x000d__x000a_,  case when SUM(Valor) &lt; 3 then 'NULO' _x000d__x000a_when SUM(Valor) &gt;= 3 and SUM(Valor) &lt; 5 then 'BAJO' _x000d__x000a_when SUM(Valor) &gt;= 5 and SUM(Valor) &lt; 8 then 'MEDIO' _x000d__x000a_when SUM(Valor) &gt;= 8 and SUM(Valor) &lt; 11 then 'ALTO' _x000d__x000a_when SUM(Valor) &gt;= 11  then 'MUY ALTO' _x000d__x000a_end [Resultado del Dominio], 'Liderazgo' Dominio_x000d__x000a_from NOM_RESULTADOS T0_x000d__x000a_INNER JOIN NOM_RESPUESTAS T1 on T0.IDRespuesta = T1.IDRespuesta_x000d__x000a_inner join TRABAJADORES_ESTUDIO T3 on T3.IDTrabajador = t0.IDEmpleado_x000d__x000a_left JOIN NOM_PREGUNTAS T2 on T0.IDPregunta = T2.IDPregunta_x000d__x000a_where T2.Indice in (23,24,25,28,29) and t0.IDApartado = 8_x000d__x000a_group by t0.IDEmpleado, t3.Nombre, IDEstudio_x000d__x000a__x000d__x000a_union all_x000d__x000a__x000d__x000a_ Select t3.Nombre, t0.idempleado, SUM(Valor) Valor, t3.IDEstudio_x000d__x000a_,  case when SUM(Valor) &lt; 5 then 'NULO' _x000d__x000a_when SUM(Valor) &gt;= 5 and SUM(Valor) &lt; 8 then 'BAJO' _x000d__x000a_when SUM(Valor) &gt;= 8 and SUM(Valor) &lt; 11 then 'MEDIO' _x000d__x000a_when SUM(Valor) &gt;= 11 and SUM(Valor) &lt; 14 then 'ALTO' _x000d__x000a_when SUM(Valor) &gt;= 14  then 'MUY ALTO' _x000d__x000a_end [Resultado del Dominio], 'Relaciones en el trabajo' Dominio_x000d__x000a_from NOM_RESULTADOS T0_x000d__x000a_INNER JOIN NOM_RESPUESTAS T1 on T0.IDRespuesta = T1.IDRespuesta_x000d__x000a_inner join TRABAJADORES_ESTUDIO T3 on T3.IDTrabajador = t0.IDEmpleado_x000d__x000a_left JOIN NOM_PREGUNTAS T2 on T0.IDPregunta = T2.IDPregunta_x000d__x000a_where T2.Indice in (30,31,32,44,45,46) and t0.IDApartado = 8_x000d__x000a_group by t0.IDEmpleado, t3.Nombre, IDEstudio_x000d__x000a__x000d__x000a_union all_x000d__x000a__x000d__x000a_ Select t3.Nombre, t0.idempleado, SUM(Valor) Valor, t3.IDEstudio_x000d__x000a_,  case when SUM(Valor) &lt; 7 then 'NULO' _x000d__x000a_when SUM(Valor) &gt;= 7 and SUM(Valor) &lt; 10 then 'BAJO' _x000d__x000a_when SUM(Valor) &gt;= 10 and SUM(Valor) &lt; 13 then 'MEDIO' _x000d__x000a_when SUM(Valor) &gt;= 13 and SUM(Valor) &lt; 16 then 'ALTO' _x000d__x000a_when SUM(Valor) &gt;= 16  then 'MUY ALTO' _x000d__x000a_end [Resultado del Dominio], 'Violencia' Dominio_x000d__x000a_from NOM_RESULTADOS T0_x000d__x000a_INNER JOIN NOM_RESPUESTAS T1 on T0.IDRespuesta = T1.IDRespuesta_x000d__x000a_inner join TRABAJADORES_ESTUDIO T3 on T3.IDTrabajador = t0.IDEmpleado_x000d__x000a_left JOIN NOM_PREGUNTAS T2 on T0.IDPregunta = T2.IDPregunta_x000d__x000a_where T2.Indice in (33,34,35,36,37,38,39,40) and t0.IDApartado = 8_x000d__x000a_group by t0.IDEmpleado, t3.Nombre, IDEstudio_x000d__x000a_) p  _x000d__x000a_PIVOT  _x000d__x000a_(  _x000d__x000a_count ([Resultado del Dominio])  _x000d__x000a_FOR [Resultado del Dominio] IN  _x000d__x000a_([NULO],[BAJO],[MEDIO],[ALTO],[MUY ALTO])  _x000d__x000a_) AS pvt  _x000d__x000a_where IDEstudio =?_x000d__x000a_group by Dominio, IDEstudio"/>
    <parameters count="1">
      <parameter name="Parámetro1" parameterType="cell" refreshOnChange="1" cell="'Matriz GuiaV'!$B$3"/>
    </parameters>
  </connection>
  <connection id="11" xr16:uid="{00000000-0015-0000-FFFF-FFFF06000000}" name="Consulta desde Matriz Homogenea" type="1" refreshedVersion="8" savePassword="1" background="1" saveData="1">
    <dbPr connection="DRIVER=SQL Server Native Client 11.0;SERVER=tcp:sql5106.site4now.net,1433;UID=db_acdbf9_nom35_admin;PWD=ClsC0nsult0r3s#;APP=Microsoft Office;WSID=LAPTOP-T2N83NE5;DATABASE=db_acdbf9_nom35;" command="SELECT ROW_NUMBER() OVER(ORDER BY Idempleado ASC) AS No,Nombre, Puesto_Categoria [Puesto Categoría]_x000d__x000a_, max([Acontecimientos traumáticos severos]) [Acontecimientos traumáticos severos]_x000d__x000a_, max([Condiciones en el ambiente de trabajo]) [Condiciones en el ambiente de trabajo]_x000d__x000a_, max([Carga de trabajo]) [Carga de trabajo], max([Falta de control sobre el trabajo]) [Falta de control sobre el trabajo]_x000d__x000a_, max([Jornada de trabajo]) [Jornada de trabajo], max([Interferencia en la relación trabajo-familia]) [Interferencia en la relación trabajo-familia]_x000d__x000a_, max([Liderazgo]) [Liderazgo], max([Relaciones en el trabajo]) [Relaciones en el trabajo]_x000d__x000a_, max([Violencia]) [Violencia], max([CALIFICACIÓN FINAL]) [CALIFICACIÓN FINAL]_x000d__x000a_FROM   _x000d__x000a_(_x000d__x000a_SELECT T2.Puesto_Categoria, T2.Nombre, T0.idempleado, COUNT(t1.Descripcion) Valor, T2.IDEstudio,_x000d__x000a_CASE WHEN COUNT(t1.Descripcion) =  6  THEN  'NO'  ELSE 'SI' END _x000d__x000a_AS [Resultado del Dominio],_x000d__x000a_'Acontecimientos traumáticos severos' Dominio_x000d__x000a_FROM NOM_RESULTADOS T0 _x000d__x000a_INNER JOIN NOM_RESPUESTAS T1 ON t0.IDRespuesta = t1.IDRespuesta _x000d__x000a_INNER JOIN  TRABAJADORES_ESTUDIO T2 ON t2.IDTrabajador = t0.idempleado_x000d__x000a_WHERE t1.IDApartado = 7 _x000d__x000a_AND (T1.Descripcion = 'NO' AND T0.IDPregunta in (50, 51, 53, 54, 55, 56))  AND (T1.Descripcion &lt;&gt; 'SI' AND T0.IDPregunta IN (50, 51, 53, 54, 55, 56))_x000d__x000a_GROUP BY  t0.idempleado, T2.Nombre, T2.IDEstudio, T2.Puesto_Categoria_x000d__x000a__x000d__x000a_UNION ALL_x000d__x000a__x000d__x000a_Select T3.Puesto_Categoria, t3.Nombre, t0.idempleado, SUM(Valor) Valor, t3.IDEstudio_x000d__x000a_,  case when SUM(Valor) &lt; 3 then 'NULO' _x000d__x000a_when SUM(Valor) &gt;= 3 and SUM(Valor) &lt; 5 then 'BAJO' _x000d__x000a_when SUM(Valor) &gt;= 5 and SUM(Valor) &lt; 7 then 'MEDIO' _x000d__x000a_when SUM(Valor) &gt;= 7 and SUM(Valor) &lt; 9 then 'ALTO' _x000d__x000a_when SUM(Valor) &gt;= 9  then 'MUY ALTO' _x000d__x000a_end [Resultado del Dominio], 'Condiciones en el ambiente de trabajo' Dominio_x000d__x000a_from NOM_RESULTADOS T0_x000d__x000a_INNER JOIN NOM_RESPUESTAS T1 on T0.IDRespuesta = T1.IDRespuesta_x000d__x000a_inner join TRABAJADORES_ESTUDIO T3 on T3.IDTrabajador = t0.IDEmpleado_x000d__x000a_left JOIN NOM_PREGUNTAS T2 on T0.IDPregunta = T2.IDPregunta_x000d__x000a_where T2.Indice in (1,2,3) and t0.IDApartado = 8_x000d__x000a_group by t0.IDEmpleado, t3.Nombre, IDEstudio, T3.Puesto_Categoria_x000d__x000a_ _x000d__x000a_ union all_x000d__x000a__x000d__x000a_ Select T3.Puesto_Categoria, t3.Nombre, t0.idempleado, SUM(Valor) Valor, t3.IDEstudio_x000d__x000a_,  case when SUM(Valor) &lt; 12 then 'NULO' _x000d__x000a_when SUM(Valor) &gt;= 12 and SUM(Valor) &lt; 16 then 'BAJO' _x000d__x000a_when SUM(Valor) &gt;= 16 and SUM(Valor) &lt; 20 then 'MEDIO' _x000d__x000a_when SUM(Valor) &gt;= 20 and SUM(Valor) &lt; 24 then 'ALTO' _x000d__x000a_when SUM(Valor) &gt;= 24  then 'MUY ALTO' _x000d__x000a_end [Resultado del Dominio], 'Carga de trabajo' Dominio_x000d__x000a_from NOM_RESULTADOS T0_x000d__x000a_INNER JOIN NOM_RESPUESTAS T1 on T0.IDRespuesta = T1.IDRespuesta_x000d__x000a_inner join TRABAJADORES_ESTUDIO T3 on T3.IDTrabajador = t0.IDEmpleado_x000d__x000a_left JOIN NOM_PREGUNTAS T2 on T0.IDPregunta = T2.IDPregunta_x000d__x000a_where T2.Indice in (4,9,5,6,7,8,41,42,43,10,11,12,13) and t0.IDApartado = 8_x000d__x000a_group by t0.IDEmpleado, t3.Nombre, IDEstudio, T3.Puesto_Categoria_x000d__x000a__x000d__x000a_union all_x000d__x000a__x000d__x000a_ Select T3.Puesto_Categoria, t3.Nombre, t0.idempleado, SUM(Valor) Valor, t3.IDEstudio_x000d__x000a_,  case when SUM(Valor) &lt; 5 then 'NULO' _x000d__x000a_when SUM(Valor) &gt;= 5 and SUM(Valor) &lt; 8 then 'BAJO' _x000d__x000a_when SUM(Valor) &gt;= 8 and SUM(Valor) &lt; 11 then 'MEDIO' _x000d__x000a_when SUM(Valor) &gt;= 11 and SUM(Valor) &lt; 14 then 'ALTO' _x000d__x000a_when SUM(Valor) &gt;= 14  then 'MUY ALTO' _x000d__x000a_end [Resultado del Dominio], 'Falta de control sobre el trabajo' Dominio_x000d__x000a_from NOM_RESULTADOS T0_x000d__x000a_INNER JOIN NOM_RESPUESTAS T1 on T0.IDRespuesta = T1.IDRespuesta_x000d__x000a_inner join TRABAJADORES_ESTUDIO T3 on T3.IDTrabajador = t0.IDEmpleado_x000d__x000a_left JOIN NOM_PREGUNTAS T2 on T0.IDPregunta = T2.IDPregunta_x000d__x000a_where T2.Indice in (20,21,22,18,19,16,27) and t0.IDApartado = 8_x000d__x000a_group by t0.IDEmpleado, t3.Nombre, IDEstudio, T3.Puesto_Categoria_x000d__x000a__x000d__x000a_union all_x000d__x000a__x000d__x000a_ Select T3.Puesto_Categoria, t3.Nombre, t0.idempleado, SUM(Valor) Valor, t3.IDEstudio_x000d__x000a_,  case when SUM(Valor) &lt; 1 then 'NULO' _x000d__x000a_when SUM(Valor) &gt;= 1 and SUM(Valor) &lt; 2 then 'BAJO' _x000d__x000a_when SUM(Valor) &gt;= 2 and SUM(Valor) &lt; 4 then 'MEDIO' _x000d__x000a_when SUM(Valor) &gt;= 4 and SUM(Valor) &lt; 6 then 'ALTO' _x000d__x000a_when SUM(Valor) &gt;= 6  then 'MUY ALTO' _x000d__x000a_end [Resultado del Dominio], 'Jornada de trabajo' Dominio_x000d__x000a_from NOM_RESULTADOS T0_x000d__x000a_INNER JOIN NOM_RESPUESTAS T1 on T0.IDRespuesta = T1.IDRespuesta_x000d__x000a_inner join TRABAJADORES_ESTUDIO T3 on T3.IDTrabajador = t0.IDEmpleado_x000d__x000a_left JOIN NOM_PREGUNTAS T2 on T0.IDPregunta = T2.IDPregunta_x000d__x000a_where T2.Indice in (14,15) and t0.IDApartado = 8_x000d__x000a_group by t0.IDEmpleado, t3.Nombre, IDEstudio, T3.Puesto_Categoria_x000d__x000a__x000d__x000a_union all_x000d__x000a__x000d__x000a_ Select T3.Puesto_Categoria, t3.Nombre, t0.idempleado, SUM(Valor) Valor, t3.IDEstudio_x000d__x000a_,  case when SUM(Valor) &lt; 1 then 'NULO' _x000d__x000a_when SUM(Valor) &gt;= 1 and SUM(Valor) &lt; 2 then 'BAJO' _x000d__x000a_when SUM(Valor) &gt;= 2 and SUM(Valor) &lt; 4 then 'MEDIO' _x000d__x000a_when SUM(Valor) &gt;= 4 and SUM(Valor) &lt; 6 then 'ALTO' _x000d__x000a_when SUM(Valor) &gt;= 6  then 'MUY ALTO' _x000d__x000a_end [Resultado del Dominio], 'Interferencia en la relación trabajo-familia' Dominio_x000d__x000a_from NOM_RESULTADOS T0_x000d__x000a_INNER JOIN NOM_RESPUESTAS T1 on T0.IDRespuesta = T1.IDRespuesta_x000d__x000a_inner join TRABAJADORES_ESTUDIO T3 on T3.IDTrabajador = t0.IDEmpleado_x000d__x000a_left JOIN NOM_PREGUNTAS T2 on T0.IDPregunta = T2.IDPregunta_x000d__x000a_where T2.Indice in (16,17) and t0.IDApartado = 8_x000d__x000a_group by t0.IDEmpleado, t3.Nombre, IDEstudio, T3.Puesto_Categoria_x000d__x000a__x000d__x000a_union all_x000d__x000a__x000d__x000a_ Select T3.Puesto_Categoria, t3.Nombre, t0.idempleado, SUM(Valor) Valor, t3.IDEstudio_x000d__x000a_,  case when SUM(Valor) &lt; 3 then 'NULO' _x000d__x000a_when SUM(Valor) &gt;= 3 and SUM(Valor) &lt; 5 then 'BAJO' _x000d__x000a_when SUM(Valor) &gt;= 5 and SUM(Valor) &lt; 8 then 'MEDIO' _x000d__x000a_when SUM(Valor) &gt;= 8 and SUM(Valor) &lt; 11 then 'ALTO' _x000d__x000a_when SUM(Valor) &gt;= 11  then 'MUY ALTO' _x000d__x000a_end [Resultado del Dominio], 'Liderazgo' Dominio_x000d__x000a_from NOM_RESULTADOS T0_x000d__x000a_INNER JOIN NOM_RESPUESTAS T1 on T0.IDRespuesta = T1.IDRespuesta_x000d__x000a_inner join TRABAJADORES_ESTUDIO T3 on T3.IDTrabajador = t0.IDEmpleado_x000d__x000a_left JOIN NOM_PREGUNTAS T2 on T0.IDPregunta = T2.IDPregunta_x000d__x000a_where T2.Indice in (23,24,25,28,29) and t0.IDApartado = 8_x000d__x000a_group by t0.IDEmpleado, t3.Nombre, IDEstudio, T3.Puesto_Categoria_x000d__x000a__x000d__x000a_union all_x000d__x000a__x000d__x000a_ Select T3.Puesto_Categoria, t3.Nombre, t0.idempleado, SUM(Valor) Valor, t3.IDEstudio_x000d__x000a_,  case when SUM(Valor) &lt; 5 then 'NULO' _x000d__x000a_when SUM(Valor) &gt;= 5 and SUM(Valor) &lt; 8 then 'BAJO' _x000d__x000a_when SUM(Valor) &gt;= 8 and SUM(Valor) &lt; 11 then 'MEDIO' _x000d__x000a_when SUM(Valor) &gt;= 11 and SUM(Valor) &lt; 14 then 'ALTO' _x000d__x000a_when SUM(Valor) &gt;= 14  then 'MUY ALTO' _x000d__x000a_end [Resultado del Dominio], 'Relaciones en el trabajo' Dominio_x000d__x000a_from NOM_RESULTADOS T0_x000d__x000a_INNER JOIN NOM_RESPUESTAS T1 on T0.IDRespuesta = T1.IDRespuesta_x000d__x000a_inner join TRABAJADORES_ESTUDIO T3 on T3.IDTrabajador = t0.IDEmpleado_x000d__x000a_left JOIN NOM_PREGUNTAS T2 on T0.IDPregunta = T2.IDPregunta_x000d__x000a_where T2.Indice in (30,31,32,44,45,46) and t0.IDApartado = 8_x000d__x000a_group by t0.IDEmpleado, t3.Nombre, IDEstudio, T3.Puesto_Categoria_x000d__x000a__x000d__x000a_union all_x000d__x000a__x000d__x000a_ Select T3.Puesto_Categoria,  t3.Nombre, t0.idempleado, SUM(Valor) Valor, t3.IDEstudio_x000d__x000a_,  case when SUM(Valor) &lt; 7 then 'NULO' _x000d__x000a_when SUM(Valor) &gt;= 7 and SUM(Valor) &lt; 10 then 'BAJO' _x000d__x000a_when SUM(Valor) &gt;= 10 and SUM(Valor) &lt; 13 then 'MEDIO' _x000d__x000a_when SUM(Valor) &gt;= 13 and SUM(Valor) &lt; 16 then 'ALTO' _x000d__x000a_when SUM(Valor) &gt;= 16  then 'MUY ALTO' _x000d__x000a_end [Resultado del Dominio], 'Violencia' Dominio_x000d__x000a_from NOM_RESULTADOS T0_x000d__x000a_INNER JOIN NOM_RESPUESTAS T1 on T0.IDRespuesta = T1.IDRespuesta_x000d__x000a_inner join TRABAJADORES_ESTUDIO T3 on T3.IDTrabajador = t0.IDEmpleado_x000d__x000a_left JOIN NOM_PREGUNTAS T2 on T0.IDPregunta = T2.IDPregunta_x000d__x000a_where T2.Indice in (33,34,35,36,37,38,39,40) and t0.IDApartado = 8_x000d__x000a_group by t0.IDEmpleado, t3.Nombre, IDEstudio, T3.Puesto_Categoria_x000d__x000a__x000d__x000a_Union all_x000d__x000a__x000d__x000a_ Select T3.Puesto_Categoria,  t3.Nombre, t0.idempleado, SUM(Valor) Valor, t3.IDEstudio_x000d__x000a_,  case when SUM(Valor) &lt; 20 then 'NULO' _x000d__x000a_when SUM(Valor) &gt;= 20 and SUM(Valor) &lt; 45 then 'BAJO' _x000d__x000a_when SUM(Valor) &gt;= 45 and SUM(Valor) &lt; 70 then 'MEDIO' _x000d__x000a_when SUM(Valor) &gt;= 70 and SUM(Valor) &lt; 90 then 'ALTO' _x000d__x000a_when SUM(Valor) &gt;= 90 then 'MUY ALTO' _x000d__x000a_end [Resultado del Dominio], 'CALIFICACIÓN FINAL' Dominio_x000d__x000a_from NOM_RESULTADOS T0_x000d__x000a_INNER JOIN NOM_RESPUESTAS T1 on T0.IDRespuesta = T1.IDRespuesta_x000d__x000a_inner join TRABAJADORES_ESTUDIO T3 on T3.IDTrabajador = t0.IDEmpleado_x000d__x000a_left JOIN NOM_PREGUNTAS T2 on T0.IDPregunta = T2.IDPregunta_x000d__x000a_where T2.Indice in (1,2,3,4,9,5,6,7,8,14,15,16,17,41,42,43,10,11,12,13,20,21,22,18,19,16,27,23,24,25,28,29,30,31,32,44,45,46,33,34,35,36,37,38,39,40) _x000d__x000a_and t0.IDApartado = 8_x000d__x000a_group by t0.IDEmpleado, t3.Nombre, IDEstudio, T3.Puesto_Categoria_x000d__x000a_) p  _x000d__x000a_PIVOT  _x000d__x000a_(  _x000d__x000a_max ([Resultado del Dominio])  _x000d__x000a_FOR Dominio IN  _x000d__x000a_([Acontecimientos traumáticos severos], _x000d__x000a_[Condiciones en el ambiente de trabajo], [Carga de trabajo], [Falta de control sobre el trabajo], [Jornada de trabajo]_x000d__x000a_, [Interferencia en la relación trabajo-familia], [Liderazgo], [Relaciones en el trabajo], [Violencia], [CALIFICACIÓN FINAL] )  _x000d__x000a_) AS pvt  _x000d__x000a_where IDEstudio = ?_x000d__x000a_group by idEmpleado,  Nombre, IDEstudio, Puesto_Categoria"/>
    <parameters count="1">
      <parameter name="Parámetro1" parameterType="cell" refreshOnChange="1" cell="'Matriz GuiaV'!$B$3"/>
    </parameters>
  </connection>
  <connection id="12" xr16:uid="{B34C2EAE-0C3B-466C-A1A1-13758C0625F1}" name="Consulta desde Matriz Homogenea GUIA III" type="1" refreshedVersion="8" savePassword="1" background="1" saveData="1">
    <dbPr connection="DRIVER=SQL Server Native Client 11.0;SERVER=tcp:sql5106.site4now.net,1433;UID=db_acdbf9_nom35_admin;PWD=ClsC0nsult0r3s#;APP=Microsoft Office;WSID=LAPTOP-T2N83NE5;DATABASE=db_acdbf9_nom35;" command="SELECT ROW_NUMBER() OVER(ORDER BY Idempleado ASC) AS No ,Nombre, Puesto_Categoria [Puesto Categoría]_x000d__x000a_, max([Acontecimientos traumáticos severos]) [Acontecimientos traumáticos severos]_x000d__x000a_, max([Condiciones en el ambiente de trabajo]) [Condiciones en el ambiente de trabajo]_x000d__x000a_, max([Carga de trabajo]) [Carga de trabajo], max([Falta de control sobre el trabajo]) [Falta de control sobre el trabajo]_x000d__x000a_, max([Jornada de trabajo]) [Jornada de trabajo], max([Interferencia en la relación trabajo-familia]) [Interferencia en la relación trabajo-familia]_x000d__x000a_, max([Liderazgo]) [Liderazgo], max([Relaciones en el trabajo]) [Relaciones en el trabajo]_x000d__x000a_, max([Violencia]) [Violencia], max([Reconocimiento del desempeño]) [Reconocimiento del desempeño], max([Insuficiente sentido de_x000d__x000a_pertenencia e inestabilidad]) [Insuficiente sentido de_x000d__x000a_pertenencia e inestabilidad], max([CALIFICACIÓN FINAL]) [CALIFICACIÓN FINAL]_x000d__x000a_FROM   _x000d__x000a_(_x000d__x000a_SELECT T2.Puesto_Categoria, T2.Nombre, T0.idempleado, COUNT(t1.Descripcion) Valor, T2.IDEstudio,_x000d__x000a_CASE WHEN COUNT(t1.Descripcion) =  6  THEN  'NO'  ELSE 'SI' END _x000d__x000a_AS [Resultado del Dominio],_x000d__x000a_'Acontecimientos traumáticos severos' Dominio_x000d__x000a_FROM NOM_RESULTADOS T0 _x000d__x000a_INNER JOIN NOM_RESPUESTAS T1 ON t0.IDRespuesta = t1.IDRespuesta _x000d__x000a_INNER JOIN  TRABAJADORES_ESTUDIO T2 ON t2.IDTrabajador = t0.idempleado_x000d__x000a_WHERE t1.IDApartado = 7 _x000d__x000a_AND (T1.Descripcion = 'NO' AND T0.IDPregunta in (50, 51, 53, 54, 55, 56))  _x000d__x000a_AND (T1.Descripcion &lt;&gt; 'SI' AND T0.IDPregunta IN (50, 51, 53, 54, 55, 56))_x000d__x000a_GROUP BY  t0.idempleado, T2.Nombre, T2.IDEstudio, T2.Puesto_Categoria_x000d__x000a__x000d__x000a_UNION ALL_x000d__x000a__x000d__x000a_Select T3.Puesto_Categoria, t3.Nombre, t0.idempleado, SUM(Valor) Valor, t3.IDEstudio_x000d__x000a_,  case when SUM(Valor) &lt; 5 then 'NULO' _x000d__x000a_when SUM(Valor) &gt;= 5 and SUM(Valor) &lt; 9 then 'BAJO' _x000d__x000a_when SUM(Valor) &gt;= 9 and SUM(Valor) &lt; 11 then 'MEDIO' _x000d__x000a_when SUM(Valor) &gt;= 11 and SUM(Valor) &lt; 14 then 'ALTO' _x000d__x000a_when SUM(Valor) &gt;= 14  then 'MUY ALTO' _x000d__x000a_end [Resultado del Dominio], 'Condiciones en el ambiente de trabajo' Dominio_x000d__x000a_from NOM_RESULTADOS T0_x000d__x000a_INNER JOIN NOM_RESPUESTAS T1 on T0.IDRespuesta = T1.IDRespuesta_x000d__x000a_inner join TRABAJADORES_ESTUDIO T3 on T3.IDTrabajador = t0.IDEmpleado_x000d__x000a_left JOIN NOM_PREGUNTAS T2 on T0.IDPregunta = T2.IDPregunta_x000d__x000a_where T2.Indice in (1,2,3,4,5) and t0.IDApartado = 9_x000d__x000a_group by t0.IDEmpleado, t3.Nombre, IDEstudio, T3.Puesto_Categoria_x000d__x000a_ _x000d__x000a_ union all_x000d__x000a__x000d__x000a_ Select T3.Puesto_Categoria, t3.Nombre, t0.idempleado, SUM(Valor) Valor, t3.IDEstudio_x000d__x000a_,  case when SUM(Valor) &lt; 15 then 'NULO' _x000d__x000a_when SUM(Valor) &gt;= 15 and SUM(Valor) &lt; 21 then 'BAJO' _x000d__x000a_when SUM(Valor) &gt;= 21 and SUM(Valor) &lt; 27 then 'MEDIO' _x000d__x000a_when SUM(Valor) &gt;= 27 and SUM(Valor) &lt; 37 then 'ALTO' _x000d__x000a_when SUM(Valor) &gt;= 37  then 'MUY ALTO' _x000d__x000a_end [Resultado del Dominio], 'Carga de trabajo' Dominio_x000d__x000a_from NOM_RESULTADOS T0_x000d__x000a_INNER JOIN NOM_RESPUESTAS T1 on T0.IDRespuesta = T1.IDRespuesta_x000d__x000a_inner join TRABAJADORES_ESTUDIO T3 on T3.IDTrabajador = t0.IDEmpleado_x000d__x000a_left JOIN NOM_PREGUNTAS T2 on T0.IDPregunta = T2.IDPregunta_x000d__x000a_where T2.Indice in (6,12,7,8,9,10,11,65,66,67,68,13,14,15,16) and t0.IDApartado = 9_x000d__x000a_group by t0.IDEmpleado, t3.Nombre, IDEstudio, T3.Puesto_Categoria_x000d__x000a__x000d__x000a_union all_x000d__x000a__x000d__x000a_ Select T3.Puesto_Categoria, t3.Nombre, t0.idempleado, SUM(Valor) Valor, t3.IDEstudio_x000d__x000a_,  case when SUM(Valor) &lt; 11 then 'NULO' _x000d__x000a_when SUM(Valor) &gt;= 11 and SUM(Valor) &lt; 16 then 'BAJO' _x000d__x000a_when SUM(Valor) &gt;= 16 and SUM(Valor) &lt; 21 then 'MEDIO' _x000d__x000a_when SUM(Valor) &gt;= 21 and SUM(Valor) &lt; 25 then 'ALTO' _x000d__x000a_when SUM(Valor) &gt;= 25  then 'MUY ALTO' _x000d__x000a_end [Resultado del Dominio], 'Falta de control sobre el trabajo' Dominio_x000d__x000a_from NOM_RESULTADOS T0_x000d__x000a_INNER JOIN NOM_RESPUESTAS T1 on T0.IDRespuesta = T1.IDRespuesta_x000d__x000a_inner join TRABAJADORES_ESTUDIO T3 on T3.IDTrabajador = t0.IDEmpleado_x000d__x000a_left JOIN NOM_PREGUNTAS T2 on T0.IDPregunta = T2.IDPregunta_x000d__x000a_where T2.Indice in (25,26,27,28,23,24,29,30,35,36) and t0.IDApartado = 9_x000d__x000a_group by t0.IDEmpleado, t3.Nombre, IDEstudio, T3.Puesto_Categoria_x000d__x000a__x000d__x000a_union all_x000d__x000a__x000d__x000a_ Select T3.Puesto_Categoria, t3.Nombre, t0.idempleado, SUM(Valor) Valor, t3.IDEstudio_x000d__x000a_,  case when SUM(Valor) &lt; 1 then 'NULO' _x000d__x000a_when SUM(Valor) &gt;= 1 and SUM(Valor) &lt; 2 then 'BAJO' _x000d__x000a_when SUM(Valor) &gt;= 2 and SUM(Valor) &lt; 4 then 'MEDIO' _x000d__x000a_when SUM(Valor) &gt;= 4 and SUM(Valor) &lt; 6 then 'ALTO' _x000d__x000a_when SUM(Valor) &gt;= 6  then 'MUY ALTO' _x000d__x000a_end [Resultado del Dominio], 'Jornada de trabajo' Dominio_x000d__x000a_from NOM_RESULTADOS T0_x000d__x000a_INNER JOIN NOM_RESPUESTAS T1 on T0.IDRespuesta = T1.IDRespuesta_x000d__x000a_inner join TRABAJADORES_ESTUDIO T3 on T3.IDTrabajador = t0.IDEmpleado_x000d__x000a_left JOIN NOM_PREGUNTAS T2 on T0.IDPregunta = T2.IDPregunta_x000d__x000a_where T2.Indice in (17,18) and t0.IDApartado = 9_x000d__x000a_group by t0.IDEmpleado, t3.Nombre, IDEstudio, T3.Puesto_Categoria_x000d__x000a__x000d__x000a_union all_x000d__x000a__x000d__x000a_ Select T3.Puesto_Categoria, t3.Nombre, t0.idempleado, SUM(Valor) Valor, t3.IDEstudio_x000d__x000a_,  case when SUM(Valor) &lt; 4 then 'NULO' _x000d__x000a_when SUM(Valor) &gt;= 4 and SUM(Valor) &lt; 6 then 'BAJO' _x000d__x000a_when SUM(Valor) &gt;= 6 and SUM(Valor) &lt; 8 then 'MEDIO' _x000d__x000a_when SUM(Valor) &gt;= 8 and SUM(Valor) &lt; 10 then 'ALTO' _x000d__x000a_when SUM(Valor) &gt;= 10  then 'MUY ALTO' _x000d__x000a_end [Resultado del Dominio], 'Interferencia en la relación trabajo-familia' Dominio_x000d__x000a_from NOM_RESULTADOS T0_x000d__x000a_INNER JOIN NOM_RESPUESTAS T1 on T0.IDRespuesta = T1.IDRespuesta_x000d__x000a_inner join TRABAJADORES_ESTUDIO T3 on T3.IDTrabajador = t0.IDEmpleado_x000d__x000a_left JOIN NOM_PREGUNTAS T2 on T0.IDPregunta = T2.IDPregunta_x000d__x000a_where T2.Indice in (19,20,21,22) and t0.IDApartado = 9_x000d__x000a_group by t0.IDEmpleado, t3.Nombre, IDEstudio, T3.Puesto_Categoria_x000d__x000a__x000d__x000a_union all_x000d__x000a__x000d__x000a_ Select T3.Puesto_Categoria, t3.Nombre, t0.idempleado, SUM(Valor) Valor, t3.IDEstudio_x000d__x000a_,  case when SUM(Valor) &lt; 9 then 'NULO' _x000d__x000a_when SUM(Valor) &gt;= 9 and SUM(Valor) &lt; 12 then 'BAJO' _x000d__x000a_when SUM(Valor) &gt;= 12 and SUM(Valor) &lt; 16 then 'MEDIO' _x000d__x000a_when SUM(Valor) &gt;= 16 and SUM(Valor) &lt; 20 then 'ALTO' _x000d__x000a_when SUM(Valor) &gt;= 20  then 'MUY ALTO' _x000d__x000a_end [Resultado del Dominio], 'Liderazgo' Dominio_x000d__x000a_from NOM_RESULTADOS T0_x000d__x000a_INNER JOIN NOM_RESPUESTAS T1 on T0.IDRespuesta = T1.IDRespuesta_x000d__x000a_inner join TRABAJADORES_ESTUDIO T3 on T3.IDTrabajador = t0.IDEmpleado_x000d__x000a_left JOIN NOM_PREGUNTAS T2 on T0.IDPregunta = T2.IDPregunta_x000d__x000a_where T2.Indice in (31,32,33,34,37,38,39,40,41) and t0.IDApartado = 9_x000d__x000a_group by t0.IDEmpleado, t3.Nombre, IDEstudio, T3.Puesto_Categoria_x000d__x000a__x000d__x000a_union all_x000d__x000a__x000d__x000a_ Select T3.Puesto_Categoria, t3.Nombre, t0.idempleado, SUM(Valor) Valor, t3.IDEstudio_x000d__x000a_,  case when SUM(Valor) &lt; 10 then 'NULO' _x000d__x000a_when SUM(Valor) &gt;= 10 and SUM(Valor) &lt; 13 then 'BAJO' _x000d__x000a_when SUM(Valor) &gt;= 13 and SUM(Valor) &lt; 17 then 'MEDIO' _x000d__x000a_when SUM(Valor) &gt;= 17 and SUM(Valor) &lt; 21 then 'ALTO' _x000d__x000a_when SUM(Valor) &gt;= 21 then 'MUY ALTO' _x000d__x000a_end [Resultado del Dominio], 'Relaciones en el trabajo' Dominio_x000d__x000a_from NOM_RESULTADOS T0_x000d__x000a_INNER JOIN NOM_RESPUESTAS T1 on T0.IDRespuesta = T1.IDRespuesta_x000d__x000a_inner join TRABAJADORES_ESTUDIO T3 on T3.IDTrabajador = t0.IDEmpleado_x000d__x000a_left JOIN NOM_PREGUNTAS T2 on T0.IDPregunta = T2.IDPregunta_x000d__x000a_where T2.Indice in (42,43,44,45,46,69,70,71,72) and t0.IDApartado = 9_x000d__x000a_group by t0.IDEmpleado, t3.Nombre, IDEstudio, T3.Puesto_Categoria_x000d__x000a__x000d__x000a_union all_x000d__x000a__x000d__x000a_ Select T3.Puesto_Categoria,  t3.Nombre, t0.idempleado, SUM(Valor) Valor, t3.IDEstudio_x000d__x000a_,  case when SUM(Valor) &lt; 7 then 'NULO' _x000d__x000a_when SUM(Valor) &gt;= 7 and SUM(Valor) &lt; 10 then 'BAJO' _x000d__x000a_when SUM(Valor) &gt;= 10 and SUM(Valor) &lt; 13 then 'MEDIO' _x000d__x000a_when SUM(Valor) &gt;= 13 and SUM(Valor) &lt; 16 then 'ALTO' _x000d__x000a_when SUM(Valor) &gt;= 16  then 'MUY ALTO' _x000d__x000a_end [Resultado del Dominio], 'Violencia' Dominio_x000d__x000a_from NOM_RESULTADOS T0_x000d__x000a_INNER JOIN NOM_RESPUESTAS T1 on T0.IDRespuesta = T1.IDRespuesta_x000d__x000a_inner join TRABAJADORES_ESTUDIO T3 on T3.IDTrabajador = t0.IDEmpleado_x000d__x000a_left JOIN NOM_PREGUNTAS T2 on T0.IDPregunta = T2.IDPregunta_x000d__x000a_where T2.Indice in (57,58,59,60,61,62,63,64) and t0.IDApartado = 9_x000d__x000a_group by t0.IDEmpleado, t3.Nombre, IDEstudio, T3.Puesto_Categoria_x000d__x000a__x000d__x000a_union all_x000d__x000a__x000d__x000a_ Select T3.Puesto_Categoria,  t3.Nombre, t0.idempleado, SUM(Valor) Valor, t3.IDEstudio_x000d__x000a_,  case when SUM(Valor) &lt; 6 then 'NULO' _x000d__x000a_when SUM(Valor) &gt;= 6 and SUM(Valor) &lt; 10 then 'BAJO' _x000d__x000a_when SUM(Valor) &gt;= 10 and SUM(Valor) &lt; 14 then 'MEDIO' _x000d__x000a_when SUM(Valor) &gt;= 14 and SUM(Valor) &lt; 18 then 'ALTO' _x000d__x000a_when SUM(Valor) &gt;= 18  then 'MUY ALTO' _x000d__x000a_end [Resultado del Dominio], 'Reconocimiento del desempeño' Dominio_x000d__x000a_from NOM_RESULTADOS T0_x000d__x000a_INNER JOIN NOM_RESPUESTAS T1 on T0.IDRespuesta = T1.IDRespuesta_x000d__x000a_inner join TRABAJADORES_ESTUDIO T3 on T3.IDTrabajador = t0.IDEmpleado_x000d__x000a_left JOIN NOM_PREGUNTAS T2 on T0.IDPregunta = T2.IDPregunta_x000d__x000a_where T2.Indice in (47,48,49,50,51,52) and t0.IDApartado = 9_x000d__x000a_group by t0.IDEmpleado, t3.Nombre, IDEstudio, T3.Puesto_Categoria_x000d__x000a__x000d__x000a_union all_x000d__x000a__x000d__x000a_ Select T3.Puesto_Categoria,  t3.Nombre, t0.idempleado, SUM(Valor) Valor, t3.IDEstudio_x000d__x000a_,  case when SUM(Valor) &lt; 4 then 'NULO' _x000d__x000a_when SUM(Valor) &gt;= 4 and SUM(Valor) &lt; 6 then 'BAJO' _x000d__x000a_when SUM(Valor) &gt;= 6 and SUM(Valor) &lt; 8 then 'MEDIO' _x000d__x000a_when SUM(Valor) &gt;= 8 and SUM(Valor) &lt; 10 then 'ALTO' _x000d__x000a_when SUM(Valor) &gt;= 10  then 'MUY ALTO' _x000d__x000a_end [Resultado del Dominio], 'Insuficiente sentido de_x000d__x000a_pertenencia e inestabilidad' Dominio_x000d__x000a_from NOM_RESULTADOS T0_x000d__x000a_INNER JOIN NOM_RESPUESTAS T1 on T0.IDRespuesta = T1.IDRespuesta_x000d__x000a_inner join TRABAJADORES_ESTUDIO T3 on T3.IDTrabajador = t0.IDEmpleado_x000d__x000a_left JOIN NOM_PREGUNTAS T2 on T0.IDPregunta = T2.IDPregunta_x000d__x000a_where T2.Indice in (55,56,53,54) and t0.IDApartado = 9_x000d__x000a_group by t0.IDEmpleado, t3.Nombre, IDEstudio, T3.Puesto_Categoria_x000d__x000a__x000d__x000a_Union all_x000d__x000a__x000d__x000a_ Select T3.Puesto_Categoria,  t3.Nombre, t0.idempleado, SUM(Valor) Valor, t3.IDEstudio_x000d__x000a_,  case when SUM(Valor) &lt; 50 then 'NULO' _x000d__x000a_when SUM(Valor) &gt;= 50 and SUM(Valor) &lt; 75 then 'BAJO' _x000d__x000a_when SUM(Valor) &gt;= 75 and SUM(Valor) &lt; 99 then 'MEDIO' _x000d__x000a_when SUM(Valor) &gt;= 99 and SUM(Valor) &lt; 140 then 'ALTO' _x000d__x000a_when SUM(Valor) &gt;= 140 then 'MUY ALTO' _x000d__x000a_end [Resultado del Dominio], 'CALIFICACIÓN FINAL' Dominio_x000d__x000a_from NOM_RESULTADOS T0_x000d__x000a_INNER JOIN NOM_RESPUESTAS T1 on T0.IDRespuesta = T1.IDRespuesta_x000d__x000a_inner join TRABAJADORES_ESTUDIO T3 on T3.IDTrabajador = t0.IDEmpleado_x000d__x000a_left JOIN NOM_PREGUNTAS T2 on T0.IDPregunta = T2.IDPregunta_x000d__x000a_where T2.Indice in (1,2,3,4,5,6,12,7,8,9,10,11,65,66,67,68,13,14,15,16,25,26,27,28,23,24,29,30,35,36,17,18,19,20,21,22,31,32,33,34,37,38,39,40,41,42,43,44,45,46,69,70,71,72,57,58,59,60,61,62,63,64,47,48,49,50,51,52,55,56,53,54) _x000d__x000a_and t0.IDApartado = 9_x000d__x000a_group by t0.IDEmpleado, t3.Nombre, IDEstudio, T3.Puesto_Categoria_x000d__x000a_) p  _x000d__x000a_PIVOT  _x000d__x000a_(  _x000d__x000a_max ([Resultado del Dominio])  _x000d__x000a_FOR Dominio IN  _x000d__x000a_([Acontecimientos traumáticos severos], _x000d__x000a_[Condiciones en el ambiente de trabajo], [Carga de trabajo], [Falta de control sobre el trabajo], [Jornada de trabajo]_x000d__x000a_, [Interferencia en la relación trabajo-familia], [Liderazgo], [Relaciones en el trabajo], [Violencia]_x000d__x000a_, [Reconocimiento del desempeño],[Insuficiente sentido de_x000d__x000a_pertenencia e inestabilidad],[CALIFICACIÓN FINAL] )  _x000d__x000a_) AS pvt  _x000d__x000a_where IDEstudio = ?_x000d__x000a_group by idEmpleado,  Nombre, IDEstudio, Puesto_Categoria"/>
    <parameters count="1">
      <parameter name="Parámetro1" parameterType="cell" refreshOnChange="1" cell="'Matriz GuiaV'!$B$3"/>
    </parameters>
  </connection>
  <connection id="13" xr16:uid="{00000000-0015-0000-FFFF-FFFF07000000}" name="Consulta desde ValoracionClinica1" type="1" refreshedVersion="8" savePassword="1" background="1" saveData="1">
    <dbPr connection="DRIVER=SQL Server Native Client 11.0;SERVER=tcp:sql5106.site4now.net,1433;UID=db_acdbf9_nom35_admin;PWD=ClsC0nsult0r3s#;APP=Microsoft Office;WSID=LAPTOP-T2N83NE5;DATABASE=db_acdbf9_nom35;" command="WITH CA ( id1, [REQUIERE ATENCIÓN CLINICA] )_x000d__x000a_as ( select 1 , count(Descripcion) _x000d__x000a_from (_x000d__x000a_select distinct t0.idempleado, t1.Descripcion, T2.IDEstudio from NOM_RESULTADOS T0 _x000d__x000a_inner join NOM_RESPUESTAS T1 on t0.IDRespuesta = t1.IDRespuesta _x000d__x000a_inner join  TRABAJADORES_ESTUDIO T2 on t2.IDTrabajador = t0.idempleado_x000d__x000a_where t1.IDApartado = 7 _x000d__x000a_and T1.Descripcion = 'SI'_x000d__x000a_and T0.IDPregunta in (50, 51, 53, 54, 55, 56) _x000d__x000a_) tabla_x000d__x000a_where IDEstudio =  ?_x000d__x000a_group by Descripcion_x000d__x000a_),_x000d__x000a_SA (id2, [NO REQUIERE ATENCIÓN CLINICA])_x000d__x000a_AS ( select 1, COUNT(Descripcion ) Descripcion   _x000d__x000a_from (_x000d__x000a_select   case when COUNT(t1.Descripcion) =  6  then  COUNT(T1.Descripcion )  else null end Descripcion, T2.IDEstudio from NOM_RESULTADOS T0 _x000d__x000a_inner join NOM_RESPUESTAS T1 on t0.IDRespuesta = t1.IDRespuesta _x000d__x000a_inner join  TRABAJADORES_ESTUDIO T2 on t2.IDTrabajador = t0.idempleado_x000d__x000a_where t1.IDApartado = 7 _x000d__x000a_and (T1.Descripcion = 'NO' and T0.IDPregunta in (50, 51, 53, 54, 55, 56))  and (T1.Descripcion &lt;&gt; 'SI'and T0.IDPregunta in (50, 51, 53, 54, 55, 56))_x000d__x000a_group by  t0.idempleado, T2.IDEstudio_x000d__x000a_) tabla_x000d__x000a_where IDEstudio =  ?_x000d__x000a_)    _x000d__x000a_SELECT [REQUIERE ATENCIÓN CLINICA], [NO REQUIERE ATENCIÓN CLINICA]  _x000d__x000a_FROM CA   full join SA on CA.id1 = SA.id2"/>
    <parameters count="2">
      <parameter name="Parámetro1" parameterType="cell" refreshOnChange="1" cell="'Matriz GuiaV'!$B$3"/>
      <parameter name="Parámetro2" parameterType="cell" refreshOnChange="1" cell="'Matriz GuiaV'!$B$3"/>
    </parameters>
  </connection>
</connections>
</file>

<file path=xl/sharedStrings.xml><?xml version="1.0" encoding="utf-8"?>
<sst xmlns="http://schemas.openxmlformats.org/spreadsheetml/2006/main" count="490" uniqueCount="148">
  <si>
    <t>NO</t>
  </si>
  <si>
    <t>CUESTIONARIO PARA IDENTIFICAR A LOS TRABAJADORES QUE FUERON</t>
  </si>
  <si>
    <t>REQUIERE ATENCIÓN CLINICA</t>
  </si>
  <si>
    <t>NO REQUIERE ATENCIÓN CLINICA</t>
  </si>
  <si>
    <t>Titulo</t>
  </si>
  <si>
    <t xml:space="preserve"> </t>
  </si>
  <si>
    <t>Sexo</t>
  </si>
  <si>
    <t>Edad</t>
  </si>
  <si>
    <t>Rota Turnos</t>
  </si>
  <si>
    <t>M</t>
  </si>
  <si>
    <t>Condiciones en el ambiente de trabajo</t>
  </si>
  <si>
    <t>Carga de trabajo</t>
  </si>
  <si>
    <t>Falta de control sobre el trabajo</t>
  </si>
  <si>
    <t>Jornada de trabajo</t>
  </si>
  <si>
    <t>Interferencia en la relación trabajo-familia</t>
  </si>
  <si>
    <t>Liderazgo</t>
  </si>
  <si>
    <t>Relaciones en el trabajo</t>
  </si>
  <si>
    <t>Violencia</t>
  </si>
  <si>
    <t>BAJO</t>
  </si>
  <si>
    <t>NULO</t>
  </si>
  <si>
    <t>ALTO</t>
  </si>
  <si>
    <t>MUY ALTO</t>
  </si>
  <si>
    <t>MEDIO</t>
  </si>
  <si>
    <t>Dominio</t>
  </si>
  <si>
    <t>TOTAL</t>
  </si>
  <si>
    <t>Categoria</t>
  </si>
  <si>
    <t>DOMINIOS</t>
  </si>
  <si>
    <t>CATEGORIAS</t>
  </si>
  <si>
    <t>Cuestionario</t>
  </si>
  <si>
    <t xml:space="preserve">Calificación final del cuestionario_x000D_
</t>
  </si>
  <si>
    <t>CUESTIONARIO</t>
  </si>
  <si>
    <t>NABORS_MASE-801</t>
  </si>
  <si>
    <t>RETEST NABORS GUIA I</t>
  </si>
  <si>
    <t>Ambiente de trabajo</t>
  </si>
  <si>
    <t>Factores propios de la actividad</t>
  </si>
  <si>
    <t>Liderazgo y relaciones en el trabajo</t>
  </si>
  <si>
    <t>Organización del tiempo de trabajo</t>
  </si>
  <si>
    <t>Total</t>
  </si>
  <si>
    <t>Nombre</t>
  </si>
  <si>
    <t>Tiempo indeterminado</t>
  </si>
  <si>
    <t>Seleccionar Estudio:</t>
  </si>
  <si>
    <t>Experiencia Laboral</t>
  </si>
  <si>
    <t>Antigüedad de Puesto</t>
  </si>
  <si>
    <t>Nivel de Estudio</t>
  </si>
  <si>
    <t>Estado Civil</t>
  </si>
  <si>
    <t>Fecha Evaluacion</t>
  </si>
  <si>
    <t>Puesto Categoria</t>
  </si>
  <si>
    <t>Tipo Personal</t>
  </si>
  <si>
    <t>Tipo Jornada</t>
  </si>
  <si>
    <t>Tipo Puesto</t>
  </si>
  <si>
    <t>Datos demográficos</t>
  </si>
  <si>
    <t>Localización</t>
  </si>
  <si>
    <t>Área fisica</t>
  </si>
  <si>
    <t>Plantilla laboral, unidad de implantación</t>
  </si>
  <si>
    <t>Instalación</t>
  </si>
  <si>
    <t>Tipo de Contratación</t>
  </si>
  <si>
    <t>Departamento Área</t>
  </si>
  <si>
    <t>SUJETOS  A ACONTECIMIENTOS TRAUMATICOS SEVEROS</t>
  </si>
  <si>
    <t>SI</t>
  </si>
  <si>
    <t>35-39</t>
  </si>
  <si>
    <t>REQUIERE ATENCIÓN CLÍNICA</t>
  </si>
  <si>
    <t>NO REQUIERE ATENCIÓN CLÍNICA</t>
  </si>
  <si>
    <t>Puesto Categoría</t>
  </si>
  <si>
    <t>IDENTIFICACIÓN Y ANÁLISIS DE LOS FACTORES DE RIESGO PSICOSOCIAL NOM-035-STPS-2018</t>
  </si>
  <si>
    <t>5-9A</t>
  </si>
  <si>
    <t>Operativo</t>
  </si>
  <si>
    <t>Unión Libre</t>
  </si>
  <si>
    <t>No</t>
  </si>
  <si>
    <t>AMBIENTES DE TRABAJO</t>
  </si>
  <si>
    <t>FACTORES PROPIOS DE LA ACTIVIDAD</t>
  </si>
  <si>
    <t>ORGANIZACIÓN DEL TIEMPO DE TRABAJO</t>
  </si>
  <si>
    <t>LIDERAZGO Y RELACIONES EN EL TRABAJO</t>
  </si>
  <si>
    <t>CALIFICACIÓN FINAL</t>
  </si>
  <si>
    <t>Acontecimientos traumáticos severos</t>
  </si>
  <si>
    <t>ESTUDIO DE PRUEBA CASO CLAUDIA SALVADOR</t>
  </si>
  <si>
    <t>PRUEBA 02 C SALVADOR</t>
  </si>
  <si>
    <t>PRUEBA DE LIGAS</t>
  </si>
  <si>
    <t>IDENTIFICACION DE FACTORES PSICOSOCIALES DE RIESGO A LA SALUD</t>
  </si>
  <si>
    <t>Soltero</t>
  </si>
  <si>
    <t>Licenciatura</t>
  </si>
  <si>
    <t>1-4A</t>
  </si>
  <si>
    <t>Diurno</t>
  </si>
  <si>
    <t>40-44</t>
  </si>
  <si>
    <t>Preparatoria o Bachillerato</t>
  </si>
  <si>
    <t>Confianza</t>
  </si>
  <si>
    <t>Mixto</t>
  </si>
  <si>
    <t>Supervisor</t>
  </si>
  <si>
    <t>Casado</t>
  </si>
  <si>
    <t>10-14A</t>
  </si>
  <si>
    <t xml:space="preserve">IDENTIFICACIÓN Y ANÁLISIS DE LOS FACTORES DE RIESGO PSICOSOCIAL </t>
  </si>
  <si>
    <t>Reconocimiento del desempeño</t>
  </si>
  <si>
    <t>Insuficiente sentido de_x000D_
pertenencia e inestabilidad</t>
  </si>
  <si>
    <t>ENTORNO ORGANIZACIONAL</t>
  </si>
  <si>
    <t>55-59</t>
  </si>
  <si>
    <t>Entorno Organizacional</t>
  </si>
  <si>
    <t>Insuficiente sentido de pertenencia e inestabilidad</t>
  </si>
  <si>
    <t>&lt;6M</t>
  </si>
  <si>
    <t>45-49</t>
  </si>
  <si>
    <t>&gt;25A</t>
  </si>
  <si>
    <t>15-19A</t>
  </si>
  <si>
    <t>20-24A</t>
  </si>
  <si>
    <t>NOM-035-STPS-2018</t>
  </si>
  <si>
    <t>Factores de riesgo psicosocial  Identificación, análisis y prevención</t>
  </si>
  <si>
    <t>MASE-802-MAYO 2023</t>
  </si>
  <si>
    <t>IDENTIFICACIÓN Y ANALISIS DE LOS FACTORES DE RIESGO PSICOSOCIAL SOCIDEMOGRAFICOS</t>
  </si>
  <si>
    <t>50-54</t>
  </si>
  <si>
    <t>Por tiempo determinado (temporal)</t>
  </si>
  <si>
    <t>Técnico Superior</t>
  </si>
  <si>
    <t>Gerente</t>
  </si>
  <si>
    <t>DEV-ALE ESTUDIO NOM-35 EMPRESA X S.A. de C.V.</t>
  </si>
  <si>
    <t>IDENTIFICACIÓN Y ANÁLISIS DE LOS FACTORES DE RIESGO PSICOSOCIAL</t>
  </si>
  <si>
    <t>UNAM TEST</t>
  </si>
  <si>
    <t>UNAM PRUEBA 2</t>
  </si>
  <si>
    <t>YARDA NABORS</t>
  </si>
  <si>
    <t>GDVIII</t>
  </si>
  <si>
    <t>CSMM CD CARMEN</t>
  </si>
  <si>
    <t>IDENTIFICACIÓN Y ANALISIS DE LOS FACTORES DE RIESGO PSICOSOCIAL</t>
  </si>
  <si>
    <t>IDENTIFICACIÓN Y ANALISIS DE FACTORES DE RIESGO PSICOSOCIAL</t>
  </si>
  <si>
    <t>IDENTIFICACIÓN Y ANÁLISIS DE LOS FACTORES DE RIESGO PSICOSOCIAL Y ENTORNO LABORAL</t>
  </si>
  <si>
    <t>IDENTIFICACION Y ANÁLISIS DE LOS FACTORES DE RIESGO PSICOSOCIAL</t>
  </si>
  <si>
    <t>PAT TAYLOR NOM-035-STPS-2018</t>
  </si>
  <si>
    <t>GLEIXNER TIDE</t>
  </si>
  <si>
    <t>ROCA PORT</t>
  </si>
  <si>
    <t>TIDEWATER DE MEXICO S DE RL DE CV</t>
  </si>
  <si>
    <t>LIEBE TIDE</t>
  </si>
  <si>
    <t xml:space="preserve">TIDEWATER DE MEXICO S DE R.L DE C.V </t>
  </si>
  <si>
    <t>NOM-035-STPS-2'18</t>
  </si>
  <si>
    <t>ISRAEL IZA GRAJALES</t>
  </si>
  <si>
    <t>Jefe de Mantenimiento</t>
  </si>
  <si>
    <t>Mantenimiento</t>
  </si>
  <si>
    <t>LUIS FERNANDO MORENO CUSTODIO</t>
  </si>
  <si>
    <t>Supervisor HSE</t>
  </si>
  <si>
    <t>HSE</t>
  </si>
  <si>
    <t>JESUS GUILLERMO PÉREZ J.</t>
  </si>
  <si>
    <t>Supervisor Eléctrico</t>
  </si>
  <si>
    <t>ANDRES ENRIQUE LUGO PALMER</t>
  </si>
  <si>
    <t>Soporte operativo (Chango)</t>
  </si>
  <si>
    <t>Operaciones</t>
  </si>
  <si>
    <t>PEDRO LUCIO SANCHEZ</t>
  </si>
  <si>
    <t>Soldador</t>
  </si>
  <si>
    <t>GILLERMO FALLO GONZALEZ</t>
  </si>
  <si>
    <t>Jefe de operaciones aeronauticas (HLO)</t>
  </si>
  <si>
    <t>DANIEL MIRANDA QUINTANA</t>
  </si>
  <si>
    <t>Rig Manager</t>
  </si>
  <si>
    <t>JOSE RAUL GARCIA BRISEÑO</t>
  </si>
  <si>
    <t>Supervisor electricista</t>
  </si>
  <si>
    <t>ELIUTH DE LA CRUZ DIAZ</t>
  </si>
  <si>
    <t>Almacenista (ADM)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</si>
</sst>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;\-0.0%;;@"/>
    <numFmt numFmtId="165" formatCode="m/d/yyyy"/>
  </numFmts>
  <fonts count="1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theme="9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A385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theme="4" tint="0.39997558519241921"/>
      </left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9">
    <xf numFmtId="0" fontId="0" fillId="0" borderId="0" xfId="0"/>
    <xf numFmtId="0" fontId="0" fillId="2" borderId="2" xfId="0" applyFill="1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3" borderId="11" xfId="0" applyFont="1" applyFill="1" applyBorder="1"/>
    <xf numFmtId="0" fontId="3" fillId="3" borderId="12" xfId="0" applyFont="1" applyFill="1" applyBorder="1"/>
    <xf numFmtId="0" fontId="3" fillId="3" borderId="13" xfId="0" applyFont="1" applyFill="1" applyBorder="1"/>
    <xf numFmtId="0" fontId="1" fillId="0" borderId="0" xfId="0" applyFont="1" applyAlignment="1">
      <alignment horizontal="center" vertical="center"/>
    </xf>
    <xf numFmtId="9" fontId="0" fillId="0" borderId="0" xfId="1" applyFont="1" applyBorder="1"/>
    <xf numFmtId="0" fontId="4" fillId="0" borderId="0" xfId="0" applyFont="1" applyAlignment="1">
      <alignment horizontal="center" vertical="center"/>
    </xf>
    <xf numFmtId="9" fontId="3" fillId="3" borderId="3" xfId="1" applyFont="1" applyFill="1" applyBorder="1"/>
    <xf numFmtId="9" fontId="0" fillId="0" borderId="0" xfId="1" applyFont="1"/>
    <xf numFmtId="49" fontId="3" fillId="3" borderId="3" xfId="0" applyNumberFormat="1" applyFont="1" applyFill="1" applyBorder="1"/>
    <xf numFmtId="49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wrapText="1"/>
    </xf>
    <xf numFmtId="0" fontId="9" fillId="0" borderId="0" xfId="0" applyFont="1" applyAlignment="1">
      <alignment wrapText="1"/>
    </xf>
    <xf numFmtId="0" fontId="9" fillId="5" borderId="0" xfId="0" applyFont="1" applyFill="1" applyAlignment="1">
      <alignment wrapText="1"/>
    </xf>
    <xf numFmtId="14" fontId="9" fillId="0" borderId="0" xfId="0" applyNumberFormat="1" applyFont="1" applyAlignment="1">
      <alignment horizontal="center" wrapText="1"/>
    </xf>
    <xf numFmtId="0" fontId="9" fillId="0" borderId="0" xfId="0" applyFont="1" applyAlignment="1">
      <alignment horizontal="center" wrapText="1"/>
    </xf>
    <xf numFmtId="0" fontId="3" fillId="4" borderId="10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7" fillId="7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0" fillId="10" borderId="15" xfId="0" applyFill="1" applyBorder="1" applyAlignment="1">
      <alignment wrapText="1"/>
    </xf>
    <xf numFmtId="0" fontId="12" fillId="10" borderId="7" xfId="0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2" xfId="0" applyBorder="1"/>
    <xf numFmtId="164" fontId="0" fillId="0" borderId="3" xfId="1" applyNumberFormat="1" applyFont="1" applyBorder="1"/>
    <xf numFmtId="164" fontId="5" fillId="0" borderId="3" xfId="1" applyNumberFormat="1" applyFont="1" applyBorder="1"/>
    <xf numFmtId="164" fontId="0" fillId="0" borderId="5" xfId="1" applyNumberFormat="1" applyFont="1" applyBorder="1"/>
    <xf numFmtId="164" fontId="0" fillId="0" borderId="10" xfId="1" applyNumberFormat="1" applyFont="1" applyBorder="1"/>
    <xf numFmtId="0" fontId="3" fillId="9" borderId="8" xfId="0" applyFont="1" applyFill="1" applyBorder="1" applyAlignment="1">
      <alignment horizontal="center" vertical="center" wrapText="1"/>
    </xf>
    <xf numFmtId="164" fontId="13" fillId="0" borderId="3" xfId="1" applyNumberFormat="1" applyFont="1" applyBorder="1"/>
    <xf numFmtId="0" fontId="7" fillId="10" borderId="5" xfId="0" applyFont="1" applyFill="1" applyBorder="1" applyAlignment="1">
      <alignment vertical="center" wrapText="1"/>
    </xf>
    <xf numFmtId="0" fontId="12" fillId="10" borderId="3" xfId="0" applyFont="1" applyFill="1" applyBorder="1" applyAlignment="1">
      <alignment horizontal="center" vertical="center" wrapText="1"/>
    </xf>
    <xf numFmtId="164" fontId="0" fillId="0" borderId="0" xfId="1" applyNumberFormat="1" applyFont="1"/>
    <xf numFmtId="0" fontId="6" fillId="0" borderId="1" xfId="0" applyFont="1" applyBorder="1" applyAlignment="1">
      <alignment horizontal="left" wrapText="1"/>
    </xf>
    <xf numFmtId="0" fontId="8" fillId="6" borderId="3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8" borderId="0" xfId="0" applyFont="1" applyFill="1" applyAlignment="1">
      <alignment horizontal="center"/>
    </xf>
    <xf numFmtId="0" fontId="3" fillId="8" borderId="16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3" fillId="8" borderId="17" xfId="0" applyFont="1" applyFill="1" applyBorder="1" applyAlignment="1">
      <alignment horizontal="center"/>
    </xf>
    <xf numFmtId="0" fontId="7" fillId="10" borderId="5" xfId="0" applyFont="1" applyFill="1" applyBorder="1" applyAlignment="1">
      <alignment horizontal="center" vertical="center" wrapText="1"/>
    </xf>
    <xf numFmtId="0" fontId="7" fillId="10" borderId="14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65" fontId="9" fillId="0" borderId="0" xfId="0" applyNumberFormat="1" applyFont="1" applyAlignment="1">
      <alignment horizontal="center" wrapText="1"/>
    </xf>
  </cellXfs>
  <cellStyles count="2">
    <cellStyle name="Normal" xfId="0" builtinId="0"/>
    <cellStyle name="Porcentaje" xfId="1" builtinId="5"/>
  </cellStyles>
  <dxfs count="133"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ill>
        <patternFill>
          <bgColor rgb="FFFFC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B3E6FF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B3E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B3E6FF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B3E6FF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B3E6FF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B3E6FF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B3E6FF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B3E6FF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B3E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B3E6FF"/>
        </patternFill>
      </fill>
    </dxf>
    <dxf>
      <fill>
        <patternFill>
          <bgColor rgb="FFFF0000"/>
        </patternFill>
      </fill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;\-0.0%;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;\-0.0%;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;\-0.0%;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;\-0.0%;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;\-0.0%;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;\-0.0%;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%;\-0.0%;;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0.0%;\-0.0%;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%;\-0.0%;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%;\-0.0%;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%;\-0.0%;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%;\-0.0%;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textRotation="0" wrapText="1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B3E6FF"/>
      <color rgb="FF1A385C"/>
      <color rgb="FF1D31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</c:spPr>
          <c:dPt>
            <c:idx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3-B71C-4A2E-8095-3C5C25EDF649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3-5DC3-4CDA-B2CE-10B4B662744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Datos!$A$4:$B$4</c:f>
              <c:strCache>
                <c:ptCount val="2"/>
                <c:pt idx="0">
                  <c:v>REQUIERE ATENCIÓN CLINICA</c:v>
                </c:pt>
                <c:pt idx="1">
                  <c:v>NO REQUIERE ATENCIÓN CLINICA</c:v>
                </c:pt>
              </c:strCache>
            </c:strRef>
          </c:cat>
          <c:val>
            <c:numRef>
              <c:f>Datos!$A$5:$B$5</c:f>
              <c:numCache>
                <c:formatCode>General</c:formatCode>
                <c:ptCount val="2"/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1C-4A2E-8095-3C5C25EDF64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5338285991087922"/>
          <c:y val="3.49178325830697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3776151235986744"/>
          <c:y val="0.18266171187261665"/>
          <c:w val="0.55518399778194016"/>
          <c:h val="0.78408605931165265"/>
        </c:manualLayout>
      </c:layout>
      <c:doughnutChart>
        <c:varyColors val="1"/>
        <c:ser>
          <c:idx val="0"/>
          <c:order val="0"/>
          <c:tx>
            <c:strRef>
              <c:f>'Graficas Anexo 2 (Guia II)'!$I$68</c:f>
              <c:strCache>
                <c:ptCount val="1"/>
                <c:pt idx="0">
                  <c:v>Carga de trabajo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</c:spPr>
          <c:dPt>
            <c:idx val="0"/>
            <c:bubble3D val="0"/>
            <c:spPr>
              <a:solidFill>
                <a:srgbClr val="B3E6FF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9-52E7-408C-95B9-8BFD163D2953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63500" sx="102000" sy="102000" algn="ctr" rotWithShape="0">
                  <a:schemeClr val="accent6">
                    <a:lumMod val="60000"/>
                    <a:lumOff val="40000"/>
                    <a:alpha val="20000"/>
                  </a:scheme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A-52E7-408C-95B9-8BFD163D2953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8-52E7-408C-95B9-8BFD163D2953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B-52E7-408C-95B9-8BFD163D2953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C-52E7-408C-95B9-8BFD163D2953}"/>
              </c:ext>
            </c:extLst>
          </c:dPt>
          <c:dLbls>
            <c:dLbl>
              <c:idx val="0"/>
              <c:layout>
                <c:manualLayout>
                  <c:x val="-3.9095441789499537E-2"/>
                  <c:y val="-1.10338291046952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2E7-408C-95B9-8BFD163D2953}"/>
                </c:ext>
              </c:extLst>
            </c:dLbl>
            <c:dLbl>
              <c:idx val="2"/>
              <c:layout>
                <c:manualLayout>
                  <c:x val="6.1649952874196943E-3"/>
                  <c:y val="-2.23178935517233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2E7-408C-95B9-8BFD163D2953}"/>
                </c:ext>
              </c:extLst>
            </c:dLbl>
            <c:dLbl>
              <c:idx val="3"/>
              <c:layout>
                <c:manualLayout>
                  <c:x val="2.4044716532114464E-2"/>
                  <c:y val="4.98746028154051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2E7-408C-95B9-8BFD163D2953}"/>
                </c:ext>
              </c:extLst>
            </c:dLbl>
            <c:dLbl>
              <c:idx val="4"/>
              <c:layout>
                <c:manualLayout>
                  <c:x val="-4.2009885663159253E-2"/>
                  <c:y val="-0.1316739635796454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2E7-408C-95B9-8BFD163D29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spc="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'Graficas Anexo 2 (Guia II)'!$J$67:$N$67</c:f>
              <c:strCache>
                <c:ptCount val="5"/>
                <c:pt idx="0">
                  <c:v>NULO</c:v>
                </c:pt>
                <c:pt idx="1">
                  <c:v>BAJO</c:v>
                </c:pt>
                <c:pt idx="2">
                  <c:v>MEDIO</c:v>
                </c:pt>
                <c:pt idx="3">
                  <c:v>ALTO</c:v>
                </c:pt>
                <c:pt idx="4">
                  <c:v>MUY ALTO</c:v>
                </c:pt>
              </c:strCache>
            </c:strRef>
          </c:cat>
          <c:val>
            <c:numRef>
              <c:f>'Graficas Anexo 2 (Guia II)'!$J$68:$N$68</c:f>
              <c:numCache>
                <c:formatCode>0.0%;\-0.0%;;@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0.33333333333333331</c:v>
                </c:pt>
                <c:pt idx="3">
                  <c:v>0.22222222222222221</c:v>
                </c:pt>
                <c:pt idx="4">
                  <c:v>0.44444444444444442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E7-408C-95B9-8BFD163D2953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915827657389432"/>
          <c:y val="0.22009796129051562"/>
          <c:w val="0.24566426668982458"/>
          <c:h val="0.633576522205868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28600556382526227"/>
          <c:y val="0.13016583099713674"/>
          <c:w val="0.36436484020757925"/>
          <c:h val="0.8337205279212121"/>
        </c:manualLayout>
      </c:layout>
      <c:doughnutChart>
        <c:varyColors val="1"/>
        <c:ser>
          <c:idx val="0"/>
          <c:order val="0"/>
          <c:tx>
            <c:strRef>
              <c:f>'Graficas Anexo 2 (Guia II)'!$I$69</c:f>
              <c:strCache>
                <c:ptCount val="1"/>
                <c:pt idx="0">
                  <c:v>Condiciones en el ambiente de trabajo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</c:spPr>
          <c:dPt>
            <c:idx val="0"/>
            <c:bubble3D val="0"/>
            <c:spPr>
              <a:solidFill>
                <a:srgbClr val="B3E6FF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A-B558-4143-9B85-AD473830768A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9-B558-4143-9B85-AD473830768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B-B558-4143-9B85-AD473830768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B558-4143-9B85-AD473830768A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8-B558-4143-9B85-AD473830768A}"/>
              </c:ext>
            </c:extLst>
          </c:dPt>
          <c:dLbls>
            <c:dLbl>
              <c:idx val="0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B558-4143-9B85-AD473830768A}"/>
                </c:ext>
              </c:extLst>
            </c:dLbl>
            <c:dLbl>
              <c:idx val="1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B558-4143-9B85-AD473830768A}"/>
                </c:ext>
              </c:extLst>
            </c:dLbl>
            <c:dLbl>
              <c:idx val="2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B558-4143-9B85-AD473830768A}"/>
                </c:ext>
              </c:extLst>
            </c:dLbl>
            <c:dLbl>
              <c:idx val="3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B558-4143-9B85-AD473830768A}"/>
                </c:ext>
              </c:extLst>
            </c:dLbl>
            <c:dLbl>
              <c:idx val="4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B558-4143-9B85-AD473830768A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'Graficas Anexo 2 (Guia II)'!$J$67:$N$67</c:f>
              <c:strCache>
                <c:ptCount val="5"/>
                <c:pt idx="0">
                  <c:v>NULO</c:v>
                </c:pt>
                <c:pt idx="1">
                  <c:v>BAJO</c:v>
                </c:pt>
                <c:pt idx="2">
                  <c:v>MEDIO</c:v>
                </c:pt>
                <c:pt idx="3">
                  <c:v>ALTO</c:v>
                </c:pt>
                <c:pt idx="4">
                  <c:v>MUY ALTO</c:v>
                </c:pt>
              </c:strCache>
            </c:strRef>
          </c:cat>
          <c:val>
            <c:numRef>
              <c:f>'Graficas Anexo 2 (Guia II)'!$J$69:$N$69</c:f>
              <c:numCache>
                <c:formatCode>0.0%;\-0.0%;;@</c:formatCode>
                <c:ptCount val="5"/>
                <c:pt idx="0">
                  <c:v>0</c:v>
                </c:pt>
                <c:pt idx="1">
                  <c:v>0.1111111111111111</c:v>
                </c:pt>
                <c:pt idx="2">
                  <c:v>0.44444444444444442</c:v>
                </c:pt>
                <c:pt idx="3">
                  <c:v>0.22222222222222221</c:v>
                </c:pt>
                <c:pt idx="4">
                  <c:v>0.22222222222222221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8-4143-9B85-AD473830768A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592399287668202"/>
          <c:y val="0.21905289124202124"/>
          <c:w val="0.17104823082584128"/>
          <c:h val="0.544362176244293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6911610634895721"/>
          <c:y val="4.953085930267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2437846123693484"/>
          <c:y val="0.18266171187261665"/>
          <c:w val="0.43376434389169111"/>
          <c:h val="0.81457076010705043"/>
        </c:manualLayout>
      </c:layout>
      <c:doughnutChart>
        <c:varyColors val="1"/>
        <c:ser>
          <c:idx val="0"/>
          <c:order val="0"/>
          <c:tx>
            <c:strRef>
              <c:f>'Graficas Anexo 2 (Guia II)'!$I$70</c:f>
              <c:strCache>
                <c:ptCount val="1"/>
                <c:pt idx="0">
                  <c:v>Falta de control sobre el trabajo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</c:spPr>
          <c:dPt>
            <c:idx val="0"/>
            <c:bubble3D val="0"/>
            <c:spPr>
              <a:solidFill>
                <a:srgbClr val="B3E6FF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1-48AC-485D-9C97-6C92A5C1CEA3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3-48AC-485D-9C97-6C92A5C1CEA3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5-48AC-485D-9C97-6C92A5C1CEA3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7-48AC-485D-9C97-6C92A5C1CEA3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9-48AC-485D-9C97-6C92A5C1CEA3}"/>
              </c:ext>
            </c:extLst>
          </c:dPt>
          <c:dLbls>
            <c:dLbl>
              <c:idx val="0"/>
              <c:layout>
                <c:manualLayout>
                  <c:x val="-0.16189287185366541"/>
                  <c:y val="-3.373567651533300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48AC-485D-9C97-6C92A5C1CEA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48AC-485D-9C97-6C92A5C1CEA3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48AC-485D-9C97-6C92A5C1CEA3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48AC-485D-9C97-6C92A5C1CEA3}"/>
                </c:ext>
              </c:extLst>
            </c:dLbl>
            <c:dLbl>
              <c:idx val="4"/>
              <c:layout>
                <c:manualLayout>
                  <c:x val="0.15923860953781657"/>
                  <c:y val="2.6775980919229296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9-48AC-485D-9C97-6C92A5C1CE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spc="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'Graficas Anexo 2 (Guia II)'!$J$67:$N$67</c:f>
              <c:strCache>
                <c:ptCount val="5"/>
                <c:pt idx="0">
                  <c:v>NULO</c:v>
                </c:pt>
                <c:pt idx="1">
                  <c:v>BAJO</c:v>
                </c:pt>
                <c:pt idx="2">
                  <c:v>MEDIO</c:v>
                </c:pt>
                <c:pt idx="3">
                  <c:v>ALTO</c:v>
                </c:pt>
                <c:pt idx="4">
                  <c:v>MUY ALTO</c:v>
                </c:pt>
              </c:strCache>
            </c:strRef>
          </c:cat>
          <c:val>
            <c:numRef>
              <c:f>'Graficas Anexo 2 (Guia II)'!$J$70:$N$70</c:f>
              <c:numCache>
                <c:formatCode>0.0%;\-0.0%;;@</c:formatCode>
                <c:ptCount val="5"/>
                <c:pt idx="0">
                  <c:v>0</c:v>
                </c:pt>
                <c:pt idx="1">
                  <c:v>0.1111111111111111</c:v>
                </c:pt>
                <c:pt idx="2">
                  <c:v>0.33333333333333331</c:v>
                </c:pt>
                <c:pt idx="3">
                  <c:v>0.44444444444444442</c:v>
                </c:pt>
                <c:pt idx="4">
                  <c:v>0.1111111111111111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8AC-485D-9C97-6C92A5C1CEA3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445403780102961"/>
          <c:y val="0.20776606390240665"/>
          <c:w val="0.21025020097183525"/>
          <c:h val="0.676329387826093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160278147015764"/>
          <c:y val="4.06753475899076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26160056740189946"/>
          <c:y val="0.15178244581552663"/>
          <c:w val="0.43014108852210375"/>
          <c:h val="0.78587367685814913"/>
        </c:manualLayout>
      </c:layout>
      <c:doughnutChart>
        <c:varyColors val="1"/>
        <c:ser>
          <c:idx val="0"/>
          <c:order val="0"/>
          <c:tx>
            <c:strRef>
              <c:f>'Graficas Anexo 2 (Guia II)'!$I$71</c:f>
              <c:strCache>
                <c:ptCount val="1"/>
                <c:pt idx="0">
                  <c:v>Interferencia en la relación trabajo-familia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</c:spPr>
          <c:dPt>
            <c:idx val="0"/>
            <c:bubble3D val="0"/>
            <c:spPr>
              <a:solidFill>
                <a:srgbClr val="B3E6FF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1-AAF5-4CC0-9F2E-0F22FA30A260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3-AAF5-4CC0-9F2E-0F22FA30A26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5-AAF5-4CC0-9F2E-0F22FA30A260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7-AAF5-4CC0-9F2E-0F22FA30A260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9-AAF5-4CC0-9F2E-0F22FA30A26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AF5-4CC0-9F2E-0F22FA30A260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AF5-4CC0-9F2E-0F22FA30A260}"/>
                </c:ext>
              </c:extLst>
            </c:dLbl>
            <c:dLbl>
              <c:idx val="2"/>
              <c:layout>
                <c:manualLayout>
                  <c:x val="1.5961360022019946E-2"/>
                  <c:y val="-5.225524943862459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AF5-4CC0-9F2E-0F22FA30A260}"/>
                </c:ext>
              </c:extLst>
            </c:dLbl>
            <c:dLbl>
              <c:idx val="3"/>
              <c:layout>
                <c:manualLayout>
                  <c:x val="9.2374125651065783E-3"/>
                  <c:y val="2.9874568887529963E-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AF5-4CC0-9F2E-0F22FA30A260}"/>
                </c:ext>
              </c:extLst>
            </c:dLbl>
            <c:dLbl>
              <c:idx val="4"/>
              <c:layout>
                <c:manualLayout>
                  <c:x val="1.1584292287031353E-5"/>
                  <c:y val="1.1876193054232863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AF5-4CC0-9F2E-0F22FA30A2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spc="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'Graficas Anexo 2 (Guia II)'!$J$67:$N$67</c:f>
              <c:strCache>
                <c:ptCount val="5"/>
                <c:pt idx="0">
                  <c:v>NULO</c:v>
                </c:pt>
                <c:pt idx="1">
                  <c:v>BAJO</c:v>
                </c:pt>
                <c:pt idx="2">
                  <c:v>MEDIO</c:v>
                </c:pt>
                <c:pt idx="3">
                  <c:v>ALTO</c:v>
                </c:pt>
                <c:pt idx="4">
                  <c:v>MUY ALTO</c:v>
                </c:pt>
              </c:strCache>
            </c:strRef>
          </c:cat>
          <c:val>
            <c:numRef>
              <c:f>'Graficas Anexo 2 (Guia II)'!$J$71:$N$71</c:f>
              <c:numCache>
                <c:formatCode>0.0%;\-0.0%;;@</c:formatCode>
                <c:ptCount val="5"/>
                <c:pt idx="0">
                  <c:v>0.1111111111111111</c:v>
                </c:pt>
                <c:pt idx="1">
                  <c:v>0</c:v>
                </c:pt>
                <c:pt idx="2">
                  <c:v>0.55555555555555558</c:v>
                </c:pt>
                <c:pt idx="3">
                  <c:v>0.1111111111111111</c:v>
                </c:pt>
                <c:pt idx="4">
                  <c:v>0.22222222222222221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AF5-4CC0-9F2E-0F22FA30A260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804120712241442"/>
          <c:y val="0.26334783114837557"/>
          <c:w val="0.20952607354981384"/>
          <c:h val="0.602845657878681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6760200019552216"/>
          <c:y val="3.55332458486617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22323651814320589"/>
          <c:y val="0.17991693847932691"/>
          <c:w val="0.41857365206219349"/>
          <c:h val="0.81517846177849285"/>
        </c:manualLayout>
      </c:layout>
      <c:doughnutChart>
        <c:varyColors val="1"/>
        <c:ser>
          <c:idx val="0"/>
          <c:order val="0"/>
          <c:tx>
            <c:strRef>
              <c:f>'Graficas Anexo 2 (Guia II)'!$I$72</c:f>
              <c:strCache>
                <c:ptCount val="1"/>
                <c:pt idx="0">
                  <c:v>Jornada de trabajo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scene3d>
              <a:camera prst="orthographicFront"/>
              <a:lightRig rig="threePt" dir="t"/>
            </a:scene3d>
          </c:spPr>
          <c:dPt>
            <c:idx val="0"/>
            <c:bubble3D val="0"/>
            <c:spPr>
              <a:solidFill>
                <a:srgbClr val="B3E6FF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1-DA8C-4B0C-B896-73B1A34C1E42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3-DA8C-4B0C-B896-73B1A34C1E42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5-DA8C-4B0C-B896-73B1A34C1E42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7-DA8C-4B0C-B896-73B1A34C1E42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9-DA8C-4B0C-B896-73B1A34C1E4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A8C-4B0C-B896-73B1A34C1E42}"/>
                </c:ext>
              </c:extLst>
            </c:dLbl>
            <c:dLbl>
              <c:idx val="1"/>
              <c:layout>
                <c:manualLayout>
                  <c:x val="1.1693255497275679E-2"/>
                  <c:y val="-4.945149582568357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A8C-4B0C-B896-73B1A34C1E4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A8C-4B0C-B896-73B1A34C1E42}"/>
                </c:ext>
              </c:extLst>
            </c:dLbl>
            <c:dLbl>
              <c:idx val="3"/>
              <c:layout>
                <c:manualLayout>
                  <c:x val="1.1380539042262727E-2"/>
                  <c:y val="9.7972276267221138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A8C-4B0C-B896-73B1A34C1E42}"/>
                </c:ext>
              </c:extLst>
            </c:dLbl>
            <c:dLbl>
              <c:idx val="4"/>
              <c:layout>
                <c:manualLayout>
                  <c:x val="-8.2531761938108971E-4"/>
                  <c:y val="-3.770594491555210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A8C-4B0C-B896-73B1A34C1E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spc="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'Graficas Anexo 2 (Guia II)'!$J$67:$N$67</c:f>
              <c:strCache>
                <c:ptCount val="5"/>
                <c:pt idx="0">
                  <c:v>NULO</c:v>
                </c:pt>
                <c:pt idx="1">
                  <c:v>BAJO</c:v>
                </c:pt>
                <c:pt idx="2">
                  <c:v>MEDIO</c:v>
                </c:pt>
                <c:pt idx="3">
                  <c:v>ALTO</c:v>
                </c:pt>
                <c:pt idx="4">
                  <c:v>MUY ALTO</c:v>
                </c:pt>
              </c:strCache>
            </c:strRef>
          </c:cat>
          <c:val>
            <c:numRef>
              <c:f>'Graficas Anexo 2 (Guia II)'!$J$72:$N$72</c:f>
              <c:numCache>
                <c:formatCode>0.0%;\-0.0%;;@</c:formatCode>
                <c:ptCount val="5"/>
                <c:pt idx="0">
                  <c:v>0</c:v>
                </c:pt>
                <c:pt idx="1">
                  <c:v>0.1111111111111111</c:v>
                </c:pt>
                <c:pt idx="2">
                  <c:v>0.22222222222222221</c:v>
                </c:pt>
                <c:pt idx="3">
                  <c:v>0.44444444444444442</c:v>
                </c:pt>
                <c:pt idx="4">
                  <c:v>0.22222222222222221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A8C-4B0C-B896-73B1A34C1E42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68316667350796"/>
          <c:y val="0.21100708038832072"/>
          <c:w val="0.24457778023667698"/>
          <c:h val="0.668867686257002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1030532700730704"/>
          <c:y val="2.13687016552469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29937157731997166"/>
          <c:y val="0.14534654997592458"/>
          <c:w val="0.37105859601598712"/>
          <c:h val="0.85465345002407545"/>
        </c:manualLayout>
      </c:layout>
      <c:doughnutChart>
        <c:varyColors val="1"/>
        <c:ser>
          <c:idx val="0"/>
          <c:order val="0"/>
          <c:tx>
            <c:strRef>
              <c:f>'Graficas Anexo 2 (Guia II)'!$I$73</c:f>
              <c:strCache>
                <c:ptCount val="1"/>
                <c:pt idx="0">
                  <c:v>Liderazgo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</c:spPr>
          <c:dPt>
            <c:idx val="0"/>
            <c:bubble3D val="0"/>
            <c:spPr>
              <a:solidFill>
                <a:srgbClr val="B3E6FF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1-DDE1-4698-8E9B-B3B893D178CA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3-DDE1-4698-8E9B-B3B893D178C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5-DDE1-4698-8E9B-B3B893D178CA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7-DDE1-4698-8E9B-B3B893D178CA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9-DDE1-4698-8E9B-B3B893D178CA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DE1-4698-8E9B-B3B893D178CA}"/>
                </c:ext>
              </c:extLst>
            </c:dLbl>
            <c:dLbl>
              <c:idx val="1"/>
              <c:layout>
                <c:manualLayout>
                  <c:x val="4.8868819218631865E-3"/>
                  <c:y val="-8.4338646268386532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E1-4698-8E9B-B3B893D178CA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E1-4698-8E9B-B3B893D178CA}"/>
                </c:ext>
              </c:extLst>
            </c:dLbl>
            <c:dLbl>
              <c:idx val="3"/>
              <c:layout>
                <c:manualLayout>
                  <c:x val="-3.4239606228811982E-2"/>
                  <c:y val="-7.742821715142460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DE1-4698-8E9B-B3B893D178CA}"/>
                </c:ext>
              </c:extLst>
            </c:dLbl>
            <c:dLbl>
              <c:idx val="4"/>
              <c:layout>
                <c:manualLayout>
                  <c:x val="2.4214879111872741E-4"/>
                  <c:y val="3.869687080906754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DE1-4698-8E9B-B3B893D178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spc="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'Graficas Anexo 2 (Guia II)'!$J$67:$N$67</c:f>
              <c:strCache>
                <c:ptCount val="5"/>
                <c:pt idx="0">
                  <c:v>NULO</c:v>
                </c:pt>
                <c:pt idx="1">
                  <c:v>BAJO</c:v>
                </c:pt>
                <c:pt idx="2">
                  <c:v>MEDIO</c:v>
                </c:pt>
                <c:pt idx="3">
                  <c:v>ALTO</c:v>
                </c:pt>
                <c:pt idx="4">
                  <c:v>MUY ALTO</c:v>
                </c:pt>
              </c:strCache>
            </c:strRef>
          </c:cat>
          <c:val>
            <c:numRef>
              <c:f>'Graficas Anexo 2 (Guia II)'!$J$73:$N$73</c:f>
              <c:numCache>
                <c:formatCode>0.0%;\-0.0%;;@</c:formatCode>
                <c:ptCount val="5"/>
                <c:pt idx="0">
                  <c:v>0</c:v>
                </c:pt>
                <c:pt idx="1">
                  <c:v>0.22222222222222221</c:v>
                </c:pt>
                <c:pt idx="2">
                  <c:v>0.44444444444444442</c:v>
                </c:pt>
                <c:pt idx="3">
                  <c:v>0.33333333333333331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DE1-4698-8E9B-B3B893D178CA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642626303212859"/>
          <c:y val="0.16956369680377328"/>
          <c:w val="0.2051251390359817"/>
          <c:h val="0.736424205348534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1336277467810646"/>
          <c:y val="1.32912595294290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22859759503039873"/>
          <c:y val="0.1161574074074074"/>
          <c:w val="0.46135166207093808"/>
          <c:h val="0.86487431067180309"/>
        </c:manualLayout>
      </c:layout>
      <c:doughnutChart>
        <c:varyColors val="1"/>
        <c:ser>
          <c:idx val="0"/>
          <c:order val="0"/>
          <c:tx>
            <c:strRef>
              <c:f>'Graficas Anexo 2 (Guia II)'!$I$74</c:f>
              <c:strCache>
                <c:ptCount val="1"/>
                <c:pt idx="0">
                  <c:v>Relaciones en el trabajo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</c:spPr>
          <c:dPt>
            <c:idx val="0"/>
            <c:bubble3D val="0"/>
            <c:spPr>
              <a:solidFill>
                <a:srgbClr val="B3E6FF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1-D611-40B5-8614-F2BBA1039BE3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3-D611-40B5-8614-F2BBA1039BE3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5-D611-40B5-8614-F2BBA1039BE3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7-D611-40B5-8614-F2BBA1039BE3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9-D611-40B5-8614-F2BBA1039BE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611-40B5-8614-F2BBA1039BE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611-40B5-8614-F2BBA1039BE3}"/>
                </c:ext>
              </c:extLst>
            </c:dLbl>
            <c:dLbl>
              <c:idx val="2"/>
              <c:layout>
                <c:manualLayout>
                  <c:x val="-6.93303036845766E-3"/>
                  <c:y val="2.7059713959368859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611-40B5-8614-F2BBA1039BE3}"/>
                </c:ext>
              </c:extLst>
            </c:dLbl>
            <c:dLbl>
              <c:idx val="3"/>
              <c:layout>
                <c:manualLayout>
                  <c:x val="-1.4346504168393179E-2"/>
                  <c:y val="-4.4071450788249053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611-40B5-8614-F2BBA1039BE3}"/>
                </c:ext>
              </c:extLst>
            </c:dLbl>
            <c:dLbl>
              <c:idx val="4"/>
              <c:layout>
                <c:manualLayout>
                  <c:x val="-1.1661545104931644E-2"/>
                  <c:y val="-2.574649450311056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611-40B5-8614-F2BBA1039B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spc="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'Graficas Anexo 2 (Guia II)'!$J$67:$N$67</c:f>
              <c:strCache>
                <c:ptCount val="5"/>
                <c:pt idx="0">
                  <c:v>NULO</c:v>
                </c:pt>
                <c:pt idx="1">
                  <c:v>BAJO</c:v>
                </c:pt>
                <c:pt idx="2">
                  <c:v>MEDIO</c:v>
                </c:pt>
                <c:pt idx="3">
                  <c:v>ALTO</c:v>
                </c:pt>
                <c:pt idx="4">
                  <c:v>MUY ALTO</c:v>
                </c:pt>
              </c:strCache>
            </c:strRef>
          </c:cat>
          <c:val>
            <c:numRef>
              <c:f>'Graficas Anexo 2 (Guia II)'!$J$74:$N$74</c:f>
              <c:numCache>
                <c:formatCode>0.0%;\-0.0%;;@</c:formatCode>
                <c:ptCount val="5"/>
                <c:pt idx="0">
                  <c:v>0.66666666666666663</c:v>
                </c:pt>
                <c:pt idx="1">
                  <c:v>0.1111111111111111</c:v>
                </c:pt>
                <c:pt idx="2">
                  <c:v>0.22222222222222221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611-40B5-8614-F2BBA1039BE3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445403780102961"/>
          <c:y val="0.19213106355840279"/>
          <c:w val="0.20266147260369471"/>
          <c:h val="0.703608571734752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071276684856053"/>
          <c:y val="1.67236922351259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30508074882266883"/>
          <c:y val="0.10451690407359707"/>
          <c:w val="0.39552424079421034"/>
          <c:h val="0.86652368818161218"/>
        </c:manualLayout>
      </c:layout>
      <c:doughnutChart>
        <c:varyColors val="1"/>
        <c:ser>
          <c:idx val="0"/>
          <c:order val="0"/>
          <c:tx>
            <c:strRef>
              <c:f>'Graficas Anexo 2 (Guia II)'!$I$75</c:f>
              <c:strCache>
                <c:ptCount val="1"/>
                <c:pt idx="0">
                  <c:v>Violencia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</c:spPr>
          <c:dPt>
            <c:idx val="0"/>
            <c:bubble3D val="0"/>
            <c:spPr>
              <a:solidFill>
                <a:srgbClr val="B3E6FF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1-6995-4966-9CBD-5D65BBBDF36F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3-6995-4966-9CBD-5D65BBBDF36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5-6995-4966-9CBD-5D65BBBDF36F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7-6995-4966-9CBD-5D65BBBDF36F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9-6995-4966-9CBD-5D65BBBDF36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995-4966-9CBD-5D65BBBDF36F}"/>
                </c:ext>
              </c:extLst>
            </c:dLbl>
            <c:dLbl>
              <c:idx val="1"/>
              <c:layout>
                <c:manualLayout>
                  <c:x val="-1.9895627180531068E-2"/>
                  <c:y val="-2.097730216549759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995-4966-9CBD-5D65BBBDF36F}"/>
                </c:ext>
              </c:extLst>
            </c:dLbl>
            <c:dLbl>
              <c:idx val="2"/>
              <c:layout>
                <c:manualLayout>
                  <c:x val="8.7403742094917056E-3"/>
                  <c:y val="7.1805760465146087E-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0107847876598794E-2"/>
                      <c:h val="0.1294585802930964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6995-4966-9CBD-5D65BBBDF36F}"/>
                </c:ext>
              </c:extLst>
            </c:dLbl>
            <c:dLbl>
              <c:idx val="3"/>
              <c:layout>
                <c:manualLayout>
                  <c:x val="9.3379124696016599E-3"/>
                  <c:y val="-4.93824840300770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995-4966-9CBD-5D65BBBDF36F}"/>
                </c:ext>
              </c:extLst>
            </c:dLbl>
            <c:dLbl>
              <c:idx val="4"/>
              <c:layout>
                <c:manualLayout>
                  <c:x val="-3.695738395815399E-2"/>
                  <c:y val="-0.1164904249922115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995-4966-9CBD-5D65BBBDF3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spc="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'Graficas Anexo 2 (Guia II)'!$J$67:$N$67</c:f>
              <c:strCache>
                <c:ptCount val="5"/>
                <c:pt idx="0">
                  <c:v>NULO</c:v>
                </c:pt>
                <c:pt idx="1">
                  <c:v>BAJO</c:v>
                </c:pt>
                <c:pt idx="2">
                  <c:v>MEDIO</c:v>
                </c:pt>
                <c:pt idx="3">
                  <c:v>ALTO</c:v>
                </c:pt>
                <c:pt idx="4">
                  <c:v>MUY ALTO</c:v>
                </c:pt>
              </c:strCache>
            </c:strRef>
          </c:cat>
          <c:val>
            <c:numRef>
              <c:f>'Graficas Anexo 2 (Guia II)'!$J$75:$N$75</c:f>
              <c:numCache>
                <c:formatCode>0.0%;\-0.0%;;@</c:formatCode>
                <c:ptCount val="5"/>
                <c:pt idx="0">
                  <c:v>0.88888888888888884</c:v>
                </c:pt>
                <c:pt idx="1">
                  <c:v>0.1111111111111111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995-4966-9CBD-5D65BBBDF36F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467845293013251"/>
          <c:y val="0.21020343111514"/>
          <c:w val="0.1925045406179681"/>
          <c:h val="0.652273007836179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4066146326155347"/>
          <c:y val="3.96406153861735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20664723581908581"/>
          <c:y val="0.12858061624706602"/>
          <c:w val="0.4891931260688383"/>
          <c:h val="0.8111252623822921"/>
        </c:manualLayout>
      </c:layout>
      <c:doughnutChart>
        <c:varyColors val="1"/>
        <c:ser>
          <c:idx val="0"/>
          <c:order val="0"/>
          <c:tx>
            <c:strRef>
              <c:f>'Graficas Anexo 2 (Guia II)'!$I$116</c:f>
              <c:strCache>
                <c:ptCount val="1"/>
                <c:pt idx="0">
                  <c:v>Ambiente de trabajo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</c:spPr>
          <c:dPt>
            <c:idx val="0"/>
            <c:bubble3D val="0"/>
            <c:spPr>
              <a:solidFill>
                <a:srgbClr val="B3E6FF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1-ACB0-4F4B-8F74-1EC82E3F156C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3-ACB0-4F4B-8F74-1EC82E3F156C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5-ACB0-4F4B-8F74-1EC82E3F156C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7-ACB0-4F4B-8F74-1EC82E3F156C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9-ACB0-4F4B-8F74-1EC82E3F156C}"/>
              </c:ext>
            </c:extLst>
          </c:dPt>
          <c:dLbls>
            <c:dLbl>
              <c:idx val="0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CB0-4F4B-8F74-1EC82E3F156C}"/>
                </c:ext>
              </c:extLst>
            </c:dLbl>
            <c:dLbl>
              <c:idx val="1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CB0-4F4B-8F74-1EC82E3F156C}"/>
                </c:ext>
              </c:extLst>
            </c:dLbl>
            <c:dLbl>
              <c:idx val="2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CB0-4F4B-8F74-1EC82E3F156C}"/>
                </c:ext>
              </c:extLst>
            </c:dLbl>
            <c:dLbl>
              <c:idx val="3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CB0-4F4B-8F74-1EC82E3F156C}"/>
                </c:ext>
              </c:extLst>
            </c:dLbl>
            <c:dLbl>
              <c:idx val="4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CB0-4F4B-8F74-1EC82E3F156C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spc="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'Graficas Anexo 2 (Guia II)'!$J$115:$N$115</c:f>
              <c:strCache>
                <c:ptCount val="5"/>
                <c:pt idx="0">
                  <c:v>NULO</c:v>
                </c:pt>
                <c:pt idx="1">
                  <c:v>BAJO</c:v>
                </c:pt>
                <c:pt idx="2">
                  <c:v>MEDIO</c:v>
                </c:pt>
                <c:pt idx="3">
                  <c:v>ALTO</c:v>
                </c:pt>
                <c:pt idx="4">
                  <c:v>MUY ALTO</c:v>
                </c:pt>
              </c:strCache>
            </c:strRef>
          </c:cat>
          <c:val>
            <c:numRef>
              <c:f>'Graficas Anexo 2 (Guia II)'!$J$116:$N$116</c:f>
              <c:numCache>
                <c:formatCode>0.0%;\-0.0%;;@</c:formatCode>
                <c:ptCount val="5"/>
                <c:pt idx="0">
                  <c:v>0</c:v>
                </c:pt>
                <c:pt idx="1">
                  <c:v>0.1111111111111111</c:v>
                </c:pt>
                <c:pt idx="2">
                  <c:v>0.44444444444444442</c:v>
                </c:pt>
                <c:pt idx="3">
                  <c:v>0.22222222222222221</c:v>
                </c:pt>
                <c:pt idx="4">
                  <c:v>0.22222222222222221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CB0-4F4B-8F74-1EC82E3F156C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426232865899858"/>
          <c:y val="0.19080035144667912"/>
          <c:w val="0.21119221401903393"/>
          <c:h val="0.536117602971598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Factores Propios de la</a:t>
            </a:r>
            <a:r>
              <a:rPr lang="es-MX" baseline="0"/>
              <a:t> Actividad</a:t>
            </a:r>
            <a:endParaRPr lang="es-MX"/>
          </a:p>
        </c:rich>
      </c:tx>
      <c:layout>
        <c:manualLayout>
          <c:xMode val="edge"/>
          <c:yMode val="edge"/>
          <c:x val="0.21850742220433961"/>
          <c:y val="4.71756298007612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26667600684924564"/>
          <c:y val="0.13887739604400576"/>
          <c:w val="0.40964112924469342"/>
          <c:h val="0.79176935273725313"/>
        </c:manualLayout>
      </c:layout>
      <c:doughnutChart>
        <c:varyColors val="1"/>
        <c:ser>
          <c:idx val="0"/>
          <c:order val="0"/>
          <c:tx>
            <c:strRef>
              <c:f>'Graficas Anexo 2 (Guia II)'!$I$117</c:f>
              <c:strCache>
                <c:ptCount val="1"/>
                <c:pt idx="0">
                  <c:v>Factores propios de la actividad</c:v>
                </c:pt>
              </c:strCache>
            </c:strRef>
          </c:tx>
          <c:dPt>
            <c:idx val="0"/>
            <c:bubble3D val="0"/>
            <c:spPr>
              <a:solidFill>
                <a:srgbClr val="B3E6FF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DF6-4DCD-91C6-2EAE180D81B7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C-E64C-47AE-AC11-1C94BEFBE979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D-E64C-47AE-AC11-1C94BEFBE979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A-E64C-47AE-AC11-1C94BEFBE979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B-E64C-47AE-AC11-1C94BEFBE979}"/>
              </c:ext>
            </c:extLst>
          </c:dPt>
          <c:dLbls>
            <c:dLbl>
              <c:idx val="0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F6-4DCD-91C6-2EAE180D81B7}"/>
                </c:ext>
              </c:extLst>
            </c:dLbl>
            <c:dLbl>
              <c:idx val="1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64C-47AE-AC11-1C94BEFBE979}"/>
                </c:ext>
              </c:extLst>
            </c:dLbl>
            <c:dLbl>
              <c:idx val="2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64C-47AE-AC11-1C94BEFBE979}"/>
                </c:ext>
              </c:extLst>
            </c:dLbl>
            <c:dLbl>
              <c:idx val="3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64C-47AE-AC11-1C94BEFBE979}"/>
                </c:ext>
              </c:extLst>
            </c:dLbl>
            <c:dLbl>
              <c:idx val="4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64C-47AE-AC11-1C94BEFBE979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spc="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'Graficas Anexo 2 (Guia II)'!$J$115:$N$115</c:f>
              <c:strCache>
                <c:ptCount val="5"/>
                <c:pt idx="0">
                  <c:v>NULO</c:v>
                </c:pt>
                <c:pt idx="1">
                  <c:v>BAJO</c:v>
                </c:pt>
                <c:pt idx="2">
                  <c:v>MEDIO</c:v>
                </c:pt>
                <c:pt idx="3">
                  <c:v>ALTO</c:v>
                </c:pt>
                <c:pt idx="4">
                  <c:v>MUY ALTO</c:v>
                </c:pt>
              </c:strCache>
            </c:strRef>
          </c:cat>
          <c:val>
            <c:numRef>
              <c:f>'Graficas Anexo 2 (Guia II)'!$J$117:$N$117</c:f>
              <c:numCache>
                <c:formatCode>0.0%;\-0.0%;;@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0.22222222222222221</c:v>
                </c:pt>
                <c:pt idx="3">
                  <c:v>0.55555555555555558</c:v>
                </c:pt>
                <c:pt idx="4">
                  <c:v>0.22222222222222221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DF6-4DCD-91C6-2EAE180D81B7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979216764198436"/>
          <c:y val="0.16578735695691169"/>
          <c:w val="0.1739012363775847"/>
          <c:h val="0.467501625416633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liderazgo</a:t>
            </a:r>
            <a:r>
              <a:rPr lang="es-MX" baseline="0"/>
              <a:t> y relaciones en el trabajo</a:t>
            </a:r>
            <a:endParaRPr lang="es-MX"/>
          </a:p>
        </c:rich>
      </c:tx>
      <c:layout>
        <c:manualLayout>
          <c:xMode val="edge"/>
          <c:yMode val="edge"/>
          <c:x val="0.12426363298088058"/>
          <c:y val="4.15648214750450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20923066631546816"/>
          <c:y val="0.16642029220185642"/>
          <c:w val="0.46614450600553164"/>
          <c:h val="0.75367049814550835"/>
        </c:manualLayout>
      </c:layout>
      <c:doughnutChart>
        <c:varyColors val="1"/>
        <c:ser>
          <c:idx val="0"/>
          <c:order val="0"/>
          <c:tx>
            <c:strRef>
              <c:f>'Graficas Anexo 2 (Guia II)'!$I$118</c:f>
              <c:strCache>
                <c:ptCount val="1"/>
                <c:pt idx="0">
                  <c:v>Liderazgo y relaciones en el trabajo</c:v>
                </c:pt>
              </c:strCache>
            </c:strRef>
          </c:tx>
          <c:dPt>
            <c:idx val="0"/>
            <c:bubble3D val="0"/>
            <c:spPr>
              <a:solidFill>
                <a:srgbClr val="B3E6FF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1-1680-4C9D-AF75-6EDCF5CBAB9C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C-36A0-4123-9389-65992C8ACB4C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D-36A0-4123-9389-65992C8ACB4C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B-36A0-4123-9389-65992C8ACB4C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A-36A0-4123-9389-65992C8ACB4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680-4C9D-AF75-6EDCF5CBAB9C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6A0-4123-9389-65992C8ACB4C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6A0-4123-9389-65992C8ACB4C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6A0-4123-9389-65992C8ACB4C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6A0-4123-9389-65992C8ACB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spc="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'Graficas Anexo 2 (Guia II)'!$J$115:$N$115</c:f>
              <c:strCache>
                <c:ptCount val="5"/>
                <c:pt idx="0">
                  <c:v>NULO</c:v>
                </c:pt>
                <c:pt idx="1">
                  <c:v>BAJO</c:v>
                </c:pt>
                <c:pt idx="2">
                  <c:v>MEDIO</c:v>
                </c:pt>
                <c:pt idx="3">
                  <c:v>ALTO</c:v>
                </c:pt>
                <c:pt idx="4">
                  <c:v>MUY ALTO</c:v>
                </c:pt>
              </c:strCache>
            </c:strRef>
          </c:cat>
          <c:val>
            <c:numRef>
              <c:f>'Graficas Anexo 2 (Guia II)'!$J$118:$N$118</c:f>
              <c:numCache>
                <c:formatCode>0.0%;\-0.0%;;@</c:formatCode>
                <c:ptCount val="5"/>
                <c:pt idx="0">
                  <c:v>0.33333333333333331</c:v>
                </c:pt>
                <c:pt idx="1">
                  <c:v>0.44444444444444442</c:v>
                </c:pt>
                <c:pt idx="2">
                  <c:v>0.22222222222222221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680-4C9D-AF75-6EDCF5CBAB9C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043193990401337"/>
          <c:y val="0.25445939829732761"/>
          <c:w val="0.19885396795352017"/>
          <c:h val="0.478207595961560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Organización del tiempo de trabajo</a:t>
            </a:r>
          </a:p>
        </c:rich>
      </c:tx>
      <c:layout>
        <c:manualLayout>
          <c:xMode val="edge"/>
          <c:yMode val="edge"/>
          <c:x val="0.16288813073800959"/>
          <c:y val="1.947481979550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27775911500912365"/>
          <c:y val="0.13837768423544689"/>
          <c:w val="0.42209096411532382"/>
          <c:h val="0.81606676220180396"/>
        </c:manualLayout>
      </c:layout>
      <c:doughnutChart>
        <c:varyColors val="1"/>
        <c:ser>
          <c:idx val="0"/>
          <c:order val="0"/>
          <c:tx>
            <c:strRef>
              <c:f>'Graficas Anexo 2 (Guia II)'!$I$119</c:f>
              <c:strCache>
                <c:ptCount val="1"/>
                <c:pt idx="0">
                  <c:v>Organización del tiempo de trabajo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</c:spPr>
          <c:dPt>
            <c:idx val="0"/>
            <c:bubble3D val="0"/>
            <c:spPr>
              <a:solidFill>
                <a:srgbClr val="B3E6FF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1-0E71-46C0-B147-219CE0FCD457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9-4F98-4261-B538-72E5F034161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8-4F98-4261-B538-72E5F034161F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7-4F98-4261-B538-72E5F034161F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6-4F98-4261-B538-72E5F034161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E71-46C0-B147-219CE0FCD45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F98-4261-B538-72E5F034161F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F98-4261-B538-72E5F034161F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F98-4261-B538-72E5F034161F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F98-4261-B538-72E5F03416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spc="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'Graficas Anexo 2 (Guia II)'!$J$115:$N$115</c:f>
              <c:strCache>
                <c:ptCount val="5"/>
                <c:pt idx="0">
                  <c:v>NULO</c:v>
                </c:pt>
                <c:pt idx="1">
                  <c:v>BAJO</c:v>
                </c:pt>
                <c:pt idx="2">
                  <c:v>MEDIO</c:v>
                </c:pt>
                <c:pt idx="3">
                  <c:v>ALTO</c:v>
                </c:pt>
                <c:pt idx="4">
                  <c:v>MUY ALTO</c:v>
                </c:pt>
              </c:strCache>
            </c:strRef>
          </c:cat>
          <c:val>
            <c:numRef>
              <c:f>'Graficas Anexo 2 (Guia II)'!$J$119:$N$119</c:f>
              <c:numCache>
                <c:formatCode>0.0%;\-0.0%;;@</c:formatCode>
                <c:ptCount val="5"/>
                <c:pt idx="0">
                  <c:v>0.1111111111111111</c:v>
                </c:pt>
                <c:pt idx="1">
                  <c:v>0.1111111111111111</c:v>
                </c:pt>
                <c:pt idx="2">
                  <c:v>0.33333333333333331</c:v>
                </c:pt>
                <c:pt idx="3">
                  <c:v>0.22222222222222221</c:v>
                </c:pt>
                <c:pt idx="4">
                  <c:v>0.22222222222222221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E71-46C0-B147-219CE0FCD457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40943435727761"/>
          <c:y val="0.24154148935034017"/>
          <c:w val="0.19330969211278717"/>
          <c:h val="0.540979287770117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>
      <a:bevelB/>
    </a:sp3d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Calificación final del cuestionario</a:t>
            </a:r>
          </a:p>
        </c:rich>
      </c:tx>
      <c:layout>
        <c:manualLayout>
          <c:xMode val="edge"/>
          <c:yMode val="edge"/>
          <c:x val="0.20006781393851822"/>
          <c:y val="5.2011754623020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27435426140520347"/>
          <c:y val="0.18899061039421816"/>
          <c:w val="0.34894597728677323"/>
          <c:h val="0.74399177288136331"/>
        </c:manualLayout>
      </c:layout>
      <c:doughnutChart>
        <c:varyColors val="1"/>
        <c:ser>
          <c:idx val="0"/>
          <c:order val="0"/>
          <c:tx>
            <c:strRef>
              <c:f>'Graficas Anexo 2 (Guia II)'!$I$143</c:f>
              <c:strCache>
                <c:ptCount val="1"/>
                <c:pt idx="0">
                  <c:v>Calificación final del cuestionario_x000d_
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</c:spPr>
          <c:dPt>
            <c:idx val="0"/>
            <c:bubble3D val="0"/>
            <c:spPr>
              <a:solidFill>
                <a:srgbClr val="B3E6FF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1-4D72-47B7-8A26-0190D730D289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3-4D72-47B7-8A26-0190D730D289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5-4D72-47B7-8A26-0190D730D289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7-4D72-47B7-8A26-0190D730D289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9-4D72-47B7-8A26-0190D730D289}"/>
              </c:ext>
            </c:extLst>
          </c:dPt>
          <c:dLbls>
            <c:dLbl>
              <c:idx val="0"/>
              <c:layout>
                <c:manualLayout>
                  <c:x val="-0.14649123605451506"/>
                  <c:y val="3.342328489452653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non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4D72-47B7-8A26-0190D730D289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non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4D72-47B7-8A26-0190D730D289}"/>
                </c:ext>
              </c:extLst>
            </c:dLbl>
            <c:dLbl>
              <c:idx val="2"/>
              <c:layout>
                <c:manualLayout>
                  <c:x val="9.1025026922444588E-2"/>
                  <c:y val="3.803339315584053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non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4D72-47B7-8A26-0190D730D289}"/>
                </c:ext>
              </c:extLst>
            </c:dLbl>
            <c:dLbl>
              <c:idx val="3"/>
              <c:layout>
                <c:manualLayout>
                  <c:x val="-3.0046910378028285E-2"/>
                  <c:y val="4.149877341309496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non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4D72-47B7-8A26-0190D730D289}"/>
                </c:ext>
              </c:extLst>
            </c:dLbl>
            <c:dLbl>
              <c:idx val="4"/>
              <c:layout>
                <c:manualLayout>
                  <c:x val="-1.9034890615600819E-2"/>
                  <c:y val="0.1046316033227576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non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9-4D72-47B7-8A26-0190D730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non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spc="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'Graficas Anexo 2 (Guia II)'!$J$142:$N$142</c:f>
              <c:strCache>
                <c:ptCount val="5"/>
                <c:pt idx="0">
                  <c:v>NULO</c:v>
                </c:pt>
                <c:pt idx="1">
                  <c:v>BAJO</c:v>
                </c:pt>
                <c:pt idx="2">
                  <c:v>MEDIO</c:v>
                </c:pt>
                <c:pt idx="3">
                  <c:v>ALTO</c:v>
                </c:pt>
                <c:pt idx="4">
                  <c:v>MUY ALTO</c:v>
                </c:pt>
              </c:strCache>
            </c:strRef>
          </c:cat>
          <c:val>
            <c:numRef>
              <c:f>'Graficas Anexo 2 (Guia II)'!$J$143:$N$143</c:f>
              <c:numCache>
                <c:formatCode>0.0%;\-0.0%;;@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0.77777777777777779</c:v>
                </c:pt>
                <c:pt idx="3">
                  <c:v>0.22222222222222221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D72-47B7-8A26-0190D730D289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049727066109121"/>
          <c:y val="0.24011831604812731"/>
          <c:w val="0.17991915683522333"/>
          <c:h val="0.608581421127342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Calificación final del cuestionario</a:t>
            </a:r>
          </a:p>
        </c:rich>
      </c:tx>
      <c:layout>
        <c:manualLayout>
          <c:xMode val="edge"/>
          <c:yMode val="edge"/>
          <c:x val="0.20006781393851822"/>
          <c:y val="5.2011754623020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27435426140520347"/>
          <c:y val="0.18899061039421816"/>
          <c:w val="0.34894597728677323"/>
          <c:h val="0.74399177288136331"/>
        </c:manualLayout>
      </c:layout>
      <c:doughnutChart>
        <c:varyColors val="1"/>
        <c:ser>
          <c:idx val="0"/>
          <c:order val="0"/>
          <c:tx>
            <c:strRef>
              <c:f>'Graficas Guia de Referencia III'!$I$202</c:f>
              <c:strCache>
                <c:ptCount val="1"/>
                <c:pt idx="0">
                  <c:v>Calificación final del cuestionario_x000d_
</c:v>
                </c:pt>
              </c:strCache>
            </c:strRef>
          </c:tx>
          <c:dPt>
            <c:idx val="0"/>
            <c:bubble3D val="0"/>
            <c:spPr>
              <a:solidFill>
                <a:srgbClr val="B3E6FF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8B57-472E-BC2A-CDD108878F69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8B57-472E-BC2A-CDD108878F69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8B57-472E-BC2A-CDD108878F69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8B57-472E-BC2A-CDD108878F69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8B57-472E-BC2A-CDD108878F6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8B57-472E-BC2A-CDD108878F69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8B57-472E-BC2A-CDD108878F69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8B57-472E-BC2A-CDD108878F69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2-8B57-472E-BC2A-CDD108878F69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3-8B57-472E-BC2A-CDD108878F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'Graficas Guia de Referencia III'!$J$201:$N$201</c:f>
              <c:strCache>
                <c:ptCount val="5"/>
                <c:pt idx="0">
                  <c:v>NULO</c:v>
                </c:pt>
                <c:pt idx="1">
                  <c:v>BAJO</c:v>
                </c:pt>
                <c:pt idx="2">
                  <c:v>MEDIO</c:v>
                </c:pt>
                <c:pt idx="3">
                  <c:v>ALTO</c:v>
                </c:pt>
                <c:pt idx="4">
                  <c:v>MUY ALTO</c:v>
                </c:pt>
              </c:strCache>
            </c:strRef>
          </c:cat>
          <c:val>
            <c:numRef>
              <c:f>'Graficas Guia de Referencia III'!$J$202:$N$202</c:f>
              <c:numCache>
                <c:formatCode>0.0%;\-0.0%;;@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B57-472E-BC2A-CDD108878F69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049727066109121"/>
          <c:y val="0.24011831604812731"/>
          <c:w val="0.18360812569563753"/>
          <c:h val="0.420665142043188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Organización del tiempo de trabajo</a:t>
            </a:r>
          </a:p>
        </c:rich>
      </c:tx>
      <c:layout>
        <c:manualLayout>
          <c:xMode val="edge"/>
          <c:yMode val="edge"/>
          <c:x val="0.20006781393851822"/>
          <c:y val="5.201175462302047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7435426140520347"/>
          <c:y val="0.18899061039421816"/>
          <c:w val="0.34894597728677323"/>
          <c:h val="0.74399177288136331"/>
        </c:manualLayout>
      </c:layout>
      <c:doughnutChart>
        <c:varyColors val="1"/>
        <c:ser>
          <c:idx val="0"/>
          <c:order val="0"/>
          <c:tx>
            <c:strRef>
              <c:f>'Graficas Guia de Referencia III'!$I$178</c:f>
              <c:strCache>
                <c:ptCount val="1"/>
                <c:pt idx="0">
                  <c:v>Organización del tiempo de trabajo</c:v>
                </c:pt>
              </c:strCache>
            </c:strRef>
          </c:tx>
          <c:dPt>
            <c:idx val="0"/>
            <c:bubble3D val="0"/>
            <c:spPr>
              <a:solidFill>
                <a:srgbClr val="B3E6FF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2F12-4658-BB6D-2880E046A468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2F12-4658-BB6D-2880E046A46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2F12-4658-BB6D-2880E046A468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2F12-4658-BB6D-2880E046A468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2F12-4658-BB6D-2880E046A468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'Graficas Guia de Referencia III'!$J$173:$N$173</c:f>
              <c:strCache>
                <c:ptCount val="5"/>
                <c:pt idx="0">
                  <c:v>NULO</c:v>
                </c:pt>
                <c:pt idx="1">
                  <c:v>BAJO</c:v>
                </c:pt>
                <c:pt idx="2">
                  <c:v>MEDIO</c:v>
                </c:pt>
                <c:pt idx="3">
                  <c:v>ALTO</c:v>
                </c:pt>
                <c:pt idx="4">
                  <c:v>MUY ALTO</c:v>
                </c:pt>
              </c:strCache>
            </c:strRef>
          </c:cat>
          <c:val>
            <c:numRef>
              <c:f>'Graficas Guia de Referencia III'!$J$178:$N$178</c:f>
              <c:numCache>
                <c:formatCode>0.0%;\-0.0%;;@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2F12-4658-BB6D-2880E046A468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  <c:holeSize val="50"/>
      </c:doughnutChart>
    </c:plotArea>
    <c:legend>
      <c:legendPos val="r"/>
      <c:layout>
        <c:manualLayout>
          <c:xMode val="edge"/>
          <c:yMode val="edge"/>
          <c:x val="0.79049727066109121"/>
          <c:y val="0.24011831604812731"/>
          <c:w val="0.16967953298990923"/>
          <c:h val="0.43066466271498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Liderazgo y relaciones en el trabajo</a:t>
            </a:r>
          </a:p>
        </c:rich>
      </c:tx>
      <c:layout>
        <c:manualLayout>
          <c:xMode val="edge"/>
          <c:yMode val="edge"/>
          <c:x val="0.20006781393851822"/>
          <c:y val="5.201175462302047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7435426140520347"/>
          <c:y val="0.18899061039421816"/>
          <c:w val="0.34894597728677323"/>
          <c:h val="0.74399177288136331"/>
        </c:manualLayout>
      </c:layout>
      <c:doughnutChart>
        <c:varyColors val="1"/>
        <c:ser>
          <c:idx val="1"/>
          <c:order val="0"/>
          <c:tx>
            <c:strRef>
              <c:f>'Graficas Guia de Referencia III'!$I$177</c:f>
              <c:strCache>
                <c:ptCount val="1"/>
                <c:pt idx="0">
                  <c:v>Liderazgo y relaciones en el trabajo</c:v>
                </c:pt>
              </c:strCache>
            </c:strRef>
          </c:tx>
          <c:dPt>
            <c:idx val="0"/>
            <c:bubble3D val="0"/>
            <c:spPr>
              <a:solidFill>
                <a:srgbClr val="B3E6FF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B05F-45B9-9A56-6F8DE575F9E7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B05F-45B9-9A56-6F8DE575F9E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B05F-45B9-9A56-6F8DE575F9E7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B05F-45B9-9A56-6F8DE575F9E7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B05F-45B9-9A56-6F8DE575F9E7}"/>
              </c:ext>
            </c:extLst>
          </c:dPt>
          <c:dLbls>
            <c:delete val="1"/>
          </c:dLbls>
          <c:cat>
            <c:strRef>
              <c:f>'Graficas Guia de Referencia III'!$J$173:$N$173</c:f>
              <c:strCache>
                <c:ptCount val="5"/>
                <c:pt idx="0">
                  <c:v>NULO</c:v>
                </c:pt>
                <c:pt idx="1">
                  <c:v>BAJO</c:v>
                </c:pt>
                <c:pt idx="2">
                  <c:v>MEDIO</c:v>
                </c:pt>
                <c:pt idx="3">
                  <c:v>ALTO</c:v>
                </c:pt>
                <c:pt idx="4">
                  <c:v>MUY ALTO</c:v>
                </c:pt>
              </c:strCache>
            </c:strRef>
          </c:cat>
          <c:val>
            <c:numRef>
              <c:f>'Graficas Guia de Referencia III'!$J$177:$N$177</c:f>
              <c:numCache>
                <c:formatCode>0.0%;\-0.0%;;@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B05F-45B9-9A56-6F8DE575F9E7}"/>
            </c:ext>
          </c:extLst>
        </c:ser>
        <c:ser>
          <c:idx val="0"/>
          <c:order val="1"/>
          <c:tx>
            <c:strRef>
              <c:f>'Graficas Guia de Referencia III'!$I$177</c:f>
              <c:strCache>
                <c:ptCount val="1"/>
                <c:pt idx="0">
                  <c:v>Liderazgo y relaciones en el trabajo</c:v>
                </c:pt>
              </c:strCache>
            </c:strRef>
          </c:tx>
          <c:dPt>
            <c:idx val="0"/>
            <c:bubble3D val="0"/>
            <c:spPr>
              <a:solidFill>
                <a:srgbClr val="B3E6FF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B05F-45B9-9A56-6F8DE575F9E7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B05F-45B9-9A56-6F8DE575F9E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E-B05F-45B9-9A56-6F8DE575F9E7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B05F-45B9-9A56-6F8DE575F9E7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B05F-45B9-9A56-6F8DE575F9E7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'Graficas Guia de Referencia III'!$J$173:$N$173</c:f>
              <c:strCache>
                <c:ptCount val="5"/>
                <c:pt idx="0">
                  <c:v>NULO</c:v>
                </c:pt>
                <c:pt idx="1">
                  <c:v>BAJO</c:v>
                </c:pt>
                <c:pt idx="2">
                  <c:v>MEDIO</c:v>
                </c:pt>
                <c:pt idx="3">
                  <c:v>ALTO</c:v>
                </c:pt>
                <c:pt idx="4">
                  <c:v>MUY ALTO</c:v>
                </c:pt>
              </c:strCache>
            </c:strRef>
          </c:cat>
          <c:val>
            <c:numRef>
              <c:f>'Graficas Guia de Referencia III'!$J$177:$N$177</c:f>
              <c:numCache>
                <c:formatCode>0.0%;\-0.0%;;@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B05F-45B9-9A56-6F8DE575F9E7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>
        <c:manualLayout>
          <c:xMode val="edge"/>
          <c:yMode val="edge"/>
          <c:x val="0.69284447066537391"/>
          <c:y val="0.24011831604812731"/>
          <c:w val="0.26733231789366402"/>
          <c:h val="0.43066466271498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Entorno Organizacional</a:t>
            </a:r>
          </a:p>
        </c:rich>
      </c:tx>
      <c:layout>
        <c:manualLayout>
          <c:xMode val="edge"/>
          <c:yMode val="edge"/>
          <c:x val="0.27826290126656367"/>
          <c:y val="7.16135419120096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7435426140520347"/>
          <c:y val="0.18899061039421816"/>
          <c:w val="0.34894597728677323"/>
          <c:h val="0.74399177288136331"/>
        </c:manualLayout>
      </c:layout>
      <c:doughnutChart>
        <c:varyColors val="1"/>
        <c:ser>
          <c:idx val="0"/>
          <c:order val="0"/>
          <c:tx>
            <c:strRef>
              <c:f>'Graficas Guia de Referencia III'!$I$175</c:f>
              <c:strCache>
                <c:ptCount val="1"/>
                <c:pt idx="0">
                  <c:v>Entorno Organizacional</c:v>
                </c:pt>
              </c:strCache>
            </c:strRef>
          </c:tx>
          <c:dPt>
            <c:idx val="0"/>
            <c:bubble3D val="0"/>
            <c:spPr>
              <a:solidFill>
                <a:srgbClr val="B3E6FF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E555-42C6-AB68-A10C8DAE2DA1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E555-42C6-AB68-A10C8DAE2D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E555-42C6-AB68-A10C8DAE2DA1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E555-42C6-AB68-A10C8DAE2DA1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E555-42C6-AB68-A10C8DAE2DA1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'Graficas Guia de Referencia III'!$J$173:$N$173</c:f>
              <c:strCache>
                <c:ptCount val="5"/>
                <c:pt idx="0">
                  <c:v>NULO</c:v>
                </c:pt>
                <c:pt idx="1">
                  <c:v>BAJO</c:v>
                </c:pt>
                <c:pt idx="2">
                  <c:v>MEDIO</c:v>
                </c:pt>
                <c:pt idx="3">
                  <c:v>ALTO</c:v>
                </c:pt>
                <c:pt idx="4">
                  <c:v>MUY ALTO</c:v>
                </c:pt>
              </c:strCache>
            </c:strRef>
          </c:cat>
          <c:val>
            <c:numRef>
              <c:f>'Graficas Guia de Referencia III'!$J$175:$N$175</c:f>
              <c:numCache>
                <c:formatCode>0.0%;\-0.0%;;@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555-42C6-AB68-A10C8DAE2DA1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  <c:holeSize val="50"/>
      </c:doughnutChart>
    </c:plotArea>
    <c:legend>
      <c:legendPos val="r"/>
      <c:layout>
        <c:manualLayout>
          <c:xMode val="edge"/>
          <c:yMode val="edge"/>
          <c:x val="0.70458782588324675"/>
          <c:y val="0.24011831604812731"/>
          <c:w val="0.25558905578081226"/>
          <c:h val="0.43066466271498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Ambiente de trabajo</a:t>
            </a:r>
          </a:p>
        </c:rich>
      </c:tx>
      <c:layout>
        <c:manualLayout>
          <c:xMode val="edge"/>
          <c:yMode val="edge"/>
          <c:x val="0.29267782826811306"/>
          <c:y val="5.201189437550937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7435426140520347"/>
          <c:y val="0.18899061039421816"/>
          <c:w val="0.34894597728677323"/>
          <c:h val="0.74399177288136331"/>
        </c:manualLayout>
      </c:layout>
      <c:doughnutChart>
        <c:varyColors val="1"/>
        <c:ser>
          <c:idx val="0"/>
          <c:order val="0"/>
          <c:tx>
            <c:strRef>
              <c:f>'Graficas Guia de Referencia III'!$I$174</c:f>
              <c:strCache>
                <c:ptCount val="1"/>
                <c:pt idx="0">
                  <c:v>Ambiente de trabajo</c:v>
                </c:pt>
              </c:strCache>
            </c:strRef>
          </c:tx>
          <c:dPt>
            <c:idx val="0"/>
            <c:bubble3D val="0"/>
            <c:spPr>
              <a:solidFill>
                <a:srgbClr val="B3E6FF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6A7-4852-B73B-0480E84BFAA4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6A7-4852-B73B-0480E84BFAA4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D6A7-4852-B73B-0480E84BFAA4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D6A7-4852-B73B-0480E84BFAA4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D6A7-4852-B73B-0480E84BFAA4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'Graficas Guia de Referencia III'!$J$173:$N$173</c:f>
              <c:strCache>
                <c:ptCount val="5"/>
                <c:pt idx="0">
                  <c:v>NULO</c:v>
                </c:pt>
                <c:pt idx="1">
                  <c:v>BAJO</c:v>
                </c:pt>
                <c:pt idx="2">
                  <c:v>MEDIO</c:v>
                </c:pt>
                <c:pt idx="3">
                  <c:v>ALTO</c:v>
                </c:pt>
                <c:pt idx="4">
                  <c:v>MUY ALTO</c:v>
                </c:pt>
              </c:strCache>
            </c:strRef>
          </c:cat>
          <c:val>
            <c:numRef>
              <c:f>'Graficas Guia de Referencia III'!$J$174:$N$174</c:f>
              <c:numCache>
                <c:formatCode>0.0%;\-0.0%;;@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6A7-4852-B73B-0480E84BFAA4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  <c:holeSize val="50"/>
      </c:doughnutChart>
    </c:plotArea>
    <c:legend>
      <c:legendPos val="r"/>
      <c:layout>
        <c:manualLayout>
          <c:xMode val="edge"/>
          <c:yMode val="edge"/>
          <c:x val="0.72741451673476087"/>
          <c:y val="0.24011831604812731"/>
          <c:w val="0.23276227111432082"/>
          <c:h val="0.43066466271498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Factores propios de la actividad</a:t>
            </a:r>
          </a:p>
        </c:rich>
      </c:tx>
      <c:layout>
        <c:manualLayout>
          <c:xMode val="edge"/>
          <c:yMode val="edge"/>
          <c:x val="0.20006781393851822"/>
          <c:y val="5.201175462302047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7435426140520347"/>
          <c:y val="0.18899061039421816"/>
          <c:w val="0.34894597728677323"/>
          <c:h val="0.74399177288136331"/>
        </c:manualLayout>
      </c:layout>
      <c:doughnutChart>
        <c:varyColors val="1"/>
        <c:ser>
          <c:idx val="0"/>
          <c:order val="0"/>
          <c:tx>
            <c:strRef>
              <c:f>'Graficas Guia de Referencia III'!$I$176</c:f>
              <c:strCache>
                <c:ptCount val="1"/>
                <c:pt idx="0">
                  <c:v>Factores propios de la actividad</c:v>
                </c:pt>
              </c:strCache>
            </c:strRef>
          </c:tx>
          <c:dPt>
            <c:idx val="0"/>
            <c:bubble3D val="0"/>
            <c:spPr>
              <a:solidFill>
                <a:srgbClr val="B3E6FF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0FF3-49C4-98CA-ACD36BA66855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0FF3-49C4-98CA-ACD36BA6685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0FF3-49C4-98CA-ACD36BA66855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0FF3-49C4-98CA-ACD36BA66855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0FF3-49C4-98CA-ACD36BA66855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'Graficas Guia de Referencia III'!$J$173:$N$173</c:f>
              <c:strCache>
                <c:ptCount val="5"/>
                <c:pt idx="0">
                  <c:v>NULO</c:v>
                </c:pt>
                <c:pt idx="1">
                  <c:v>BAJO</c:v>
                </c:pt>
                <c:pt idx="2">
                  <c:v>MEDIO</c:v>
                </c:pt>
                <c:pt idx="3">
                  <c:v>ALTO</c:v>
                </c:pt>
                <c:pt idx="4">
                  <c:v>MUY ALTO</c:v>
                </c:pt>
              </c:strCache>
            </c:strRef>
          </c:cat>
          <c:val>
            <c:numRef>
              <c:f>'Graficas Guia de Referencia III'!$J$176:$N$176</c:f>
              <c:numCache>
                <c:formatCode>0.0%;\-0.0%;;@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FF3-49C4-98CA-ACD36BA66855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  <c:holeSize val="50"/>
      </c:doughnutChart>
    </c:plotArea>
    <c:legend>
      <c:legendPos val="r"/>
      <c:layout>
        <c:manualLayout>
          <c:xMode val="edge"/>
          <c:yMode val="edge"/>
          <c:x val="0.79049727066109121"/>
          <c:y val="0.24011831604812731"/>
          <c:w val="0.16967953298990923"/>
          <c:h val="0.43066466271498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Falta de control sobre el trabajo</a:t>
            </a:r>
          </a:p>
        </c:rich>
      </c:tx>
      <c:layout>
        <c:manualLayout>
          <c:xMode val="edge"/>
          <c:yMode val="edge"/>
          <c:x val="0.15563337772570757"/>
          <c:y val="6.543712681676125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7435426140520347"/>
          <c:y val="0.18899061039421816"/>
          <c:w val="0.34894597728677323"/>
          <c:h val="0.74399177288136331"/>
        </c:manualLayout>
      </c:layout>
      <c:doughnutChart>
        <c:varyColors val="1"/>
        <c:ser>
          <c:idx val="0"/>
          <c:order val="0"/>
          <c:tx>
            <c:strRef>
              <c:f>'Graficas Guia de Referencia III'!$I$111</c:f>
              <c:strCache>
                <c:ptCount val="1"/>
                <c:pt idx="0">
                  <c:v>Falta de control sobre el trabajo</c:v>
                </c:pt>
              </c:strCache>
            </c:strRef>
          </c:tx>
          <c:dPt>
            <c:idx val="0"/>
            <c:bubble3D val="0"/>
            <c:spPr>
              <a:solidFill>
                <a:srgbClr val="B3E6FF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0DC2-4827-BE4C-84F18EB99518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0DC2-4827-BE4C-84F18EB9951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0DC2-4827-BE4C-84F18EB99518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0DC2-4827-BE4C-84F18EB99518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0DC2-4827-BE4C-84F18EB99518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'Graficas Guia de Referencia III'!$J$108:$N$108</c:f>
              <c:strCache>
                <c:ptCount val="5"/>
                <c:pt idx="0">
                  <c:v>NULO</c:v>
                </c:pt>
                <c:pt idx="1">
                  <c:v>BAJO</c:v>
                </c:pt>
                <c:pt idx="2">
                  <c:v>MEDIO</c:v>
                </c:pt>
                <c:pt idx="3">
                  <c:v>ALTO</c:v>
                </c:pt>
                <c:pt idx="4">
                  <c:v>MUY ALTO</c:v>
                </c:pt>
              </c:strCache>
            </c:strRef>
          </c:cat>
          <c:val>
            <c:numRef>
              <c:f>'Graficas Guia de Referencia III'!$J$111:$N$111</c:f>
              <c:numCache>
                <c:formatCode>0.0%;\-0.0%;;@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0DC2-4827-BE4C-84F18EB99518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>
        <c:manualLayout>
          <c:xMode val="edge"/>
          <c:yMode val="edge"/>
          <c:x val="0.71919021849082254"/>
          <c:y val="0.24011831604812731"/>
          <c:w val="0.24098650418487455"/>
          <c:h val="0.43066466271498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Insuficiente sentido de pertenencia e inestabilidad</a:t>
            </a:r>
          </a:p>
        </c:rich>
      </c:tx>
      <c:layout>
        <c:manualLayout>
          <c:xMode val="edge"/>
          <c:yMode val="edge"/>
          <c:x val="0.14693174504449355"/>
          <c:y val="6.543709444429217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7435426140520347"/>
          <c:y val="0.18899061039421816"/>
          <c:w val="0.34894597728677323"/>
          <c:h val="0.74399177288136331"/>
        </c:manualLayout>
      </c:layout>
      <c:doughnutChart>
        <c:varyColors val="1"/>
        <c:ser>
          <c:idx val="0"/>
          <c:order val="0"/>
          <c:tx>
            <c:strRef>
              <c:f>'Graficas Guia de Referencia III'!$I$112</c:f>
              <c:strCache>
                <c:ptCount val="1"/>
                <c:pt idx="0">
                  <c:v>Insuficiente sentido de pertenencia e inestabilidad</c:v>
                </c:pt>
              </c:strCache>
            </c:strRef>
          </c:tx>
          <c:dPt>
            <c:idx val="0"/>
            <c:bubble3D val="0"/>
            <c:spPr>
              <a:solidFill>
                <a:srgbClr val="B3E6FF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313F-48F2-9324-5C414BBCDA3A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313F-48F2-9324-5C414BBCDA3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313F-48F2-9324-5C414BBCDA3A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313F-48F2-9324-5C414BBCDA3A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313F-48F2-9324-5C414BBCDA3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'Graficas Guia de Referencia III'!$J$108:$N$108</c:f>
              <c:strCache>
                <c:ptCount val="5"/>
                <c:pt idx="0">
                  <c:v>NULO</c:v>
                </c:pt>
                <c:pt idx="1">
                  <c:v>BAJO</c:v>
                </c:pt>
                <c:pt idx="2">
                  <c:v>MEDIO</c:v>
                </c:pt>
                <c:pt idx="3">
                  <c:v>ALTO</c:v>
                </c:pt>
                <c:pt idx="4">
                  <c:v>MUY ALTO</c:v>
                </c:pt>
              </c:strCache>
            </c:strRef>
          </c:cat>
          <c:val>
            <c:numRef>
              <c:f>'Graficas Guia de Referencia III'!$J$112:$N$112</c:f>
              <c:numCache>
                <c:formatCode>0.0%;\-0.0%;;@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313F-48F2-9324-5C414BBCDA3A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>
        <c:manualLayout>
          <c:xMode val="edge"/>
          <c:yMode val="edge"/>
          <c:x val="0.79049727066109121"/>
          <c:y val="0.24011831604812731"/>
          <c:w val="0.16967953298990923"/>
          <c:h val="0.43066466271498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Interferencia en la relación trabajo-familia</a:t>
            </a:r>
          </a:p>
        </c:rich>
      </c:tx>
      <c:layout>
        <c:manualLayout>
          <c:xMode val="edge"/>
          <c:yMode val="edge"/>
          <c:x val="0.11311692014535445"/>
          <c:y val="6.889089044009107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7435426140520347"/>
          <c:y val="0.18899061039421816"/>
          <c:w val="0.34894597728677323"/>
          <c:h val="0.74399177288136331"/>
        </c:manualLayout>
      </c:layout>
      <c:doughnutChart>
        <c:varyColors val="1"/>
        <c:ser>
          <c:idx val="0"/>
          <c:order val="0"/>
          <c:tx>
            <c:strRef>
              <c:f>'Graficas Guia de Referencia III'!$I$113</c:f>
              <c:strCache>
                <c:ptCount val="1"/>
                <c:pt idx="0">
                  <c:v>Interferencia en la relación trabajo-familia</c:v>
                </c:pt>
              </c:strCache>
            </c:strRef>
          </c:tx>
          <c:dPt>
            <c:idx val="0"/>
            <c:bubble3D val="0"/>
            <c:spPr>
              <a:solidFill>
                <a:srgbClr val="B3E6FF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4D68-46B8-8559-16532FCF7383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4D68-46B8-8559-16532FCF7383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4D68-46B8-8559-16532FCF7383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4D68-46B8-8559-16532FCF7383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4D68-46B8-8559-16532FCF7383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'Graficas Guia de Referencia III'!$J$108:$N$108</c:f>
              <c:strCache>
                <c:ptCount val="5"/>
                <c:pt idx="0">
                  <c:v>NULO</c:v>
                </c:pt>
                <c:pt idx="1">
                  <c:v>BAJO</c:v>
                </c:pt>
                <c:pt idx="2">
                  <c:v>MEDIO</c:v>
                </c:pt>
                <c:pt idx="3">
                  <c:v>ALTO</c:v>
                </c:pt>
                <c:pt idx="4">
                  <c:v>MUY ALTO</c:v>
                </c:pt>
              </c:strCache>
            </c:strRef>
          </c:cat>
          <c:val>
            <c:numRef>
              <c:f>'Graficas Guia de Referencia III'!$J$113:$N$113</c:f>
              <c:numCache>
                <c:formatCode>0.0%;\-0.0%;;@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D68-46B8-8559-16532FCF7383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>
        <c:manualLayout>
          <c:xMode val="edge"/>
          <c:yMode val="edge"/>
          <c:x val="0.71483794982870585"/>
          <c:y val="0.24011831604812731"/>
          <c:w val="0.24533880887180215"/>
          <c:h val="0.43066466271498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Jornada de trabajo</a:t>
            </a:r>
          </a:p>
        </c:rich>
      </c:tx>
      <c:layout>
        <c:manualLayout>
          <c:xMode val="edge"/>
          <c:yMode val="edge"/>
          <c:x val="0.29058790665283929"/>
          <c:y val="5.854412302271451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7435426140520347"/>
          <c:y val="0.18899061039421816"/>
          <c:w val="0.34894597728677323"/>
          <c:h val="0.74399177288136331"/>
        </c:manualLayout>
      </c:layout>
      <c:doughnutChart>
        <c:varyColors val="1"/>
        <c:ser>
          <c:idx val="0"/>
          <c:order val="0"/>
          <c:tx>
            <c:strRef>
              <c:f>'Graficas Guia de Referencia III'!$I$114</c:f>
              <c:strCache>
                <c:ptCount val="1"/>
                <c:pt idx="0">
                  <c:v>Jornada de trabajo</c:v>
                </c:pt>
              </c:strCache>
            </c:strRef>
          </c:tx>
          <c:dPt>
            <c:idx val="0"/>
            <c:bubble3D val="0"/>
            <c:spPr>
              <a:solidFill>
                <a:srgbClr val="B3E6FF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C0E-4C36-8253-3380CB1CC273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C0E-4C36-8253-3380CB1CC273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DC0E-4C36-8253-3380CB1CC273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DC0E-4C36-8253-3380CB1CC273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DC0E-4C36-8253-3380CB1CC273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'Graficas Guia de Referencia III'!$J$108:$N$108</c:f>
              <c:strCache>
                <c:ptCount val="5"/>
                <c:pt idx="0">
                  <c:v>NULO</c:v>
                </c:pt>
                <c:pt idx="1">
                  <c:v>BAJO</c:v>
                </c:pt>
                <c:pt idx="2">
                  <c:v>MEDIO</c:v>
                </c:pt>
                <c:pt idx="3">
                  <c:v>ALTO</c:v>
                </c:pt>
                <c:pt idx="4">
                  <c:v>MUY ALTO</c:v>
                </c:pt>
              </c:strCache>
            </c:strRef>
          </c:cat>
          <c:val>
            <c:numRef>
              <c:f>'Graficas Guia de Referencia III'!$J$114:$N$114</c:f>
              <c:numCache>
                <c:formatCode>0.0%;\-0.0%;;@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C0E-4C36-8253-3380CB1CC273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>
        <c:manualLayout>
          <c:xMode val="edge"/>
          <c:yMode val="edge"/>
          <c:x val="0.79049727066109121"/>
          <c:y val="0.24011831604812731"/>
          <c:w val="0.16967953298990923"/>
          <c:h val="0.43066466271498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Liderazgo</a:t>
            </a:r>
          </a:p>
        </c:rich>
      </c:tx>
      <c:layout>
        <c:manualLayout>
          <c:xMode val="edge"/>
          <c:yMode val="edge"/>
          <c:x val="0.38219468580337396"/>
          <c:y val="6.543712355835286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7435426140520347"/>
          <c:y val="0.18899061039421816"/>
          <c:w val="0.34894597728677323"/>
          <c:h val="0.74399177288136331"/>
        </c:manualLayout>
      </c:layout>
      <c:doughnutChart>
        <c:varyColors val="1"/>
        <c:ser>
          <c:idx val="0"/>
          <c:order val="0"/>
          <c:tx>
            <c:strRef>
              <c:f>'Graficas Guia de Referencia III'!$I$115</c:f>
              <c:strCache>
                <c:ptCount val="1"/>
                <c:pt idx="0">
                  <c:v>Liderazgo</c:v>
                </c:pt>
              </c:strCache>
            </c:strRef>
          </c:tx>
          <c:dPt>
            <c:idx val="0"/>
            <c:bubble3D val="0"/>
            <c:spPr>
              <a:solidFill>
                <a:srgbClr val="B3E6FF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64D-4B8E-A258-E0F667BC2AED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364D-4B8E-A258-E0F667BC2AED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364D-4B8E-A258-E0F667BC2AED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364D-4B8E-A258-E0F667BC2AED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364D-4B8E-A258-E0F667BC2AED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'Graficas Guia de Referencia III'!$J$108:$N$108</c:f>
              <c:strCache>
                <c:ptCount val="5"/>
                <c:pt idx="0">
                  <c:v>NULO</c:v>
                </c:pt>
                <c:pt idx="1">
                  <c:v>BAJO</c:v>
                </c:pt>
                <c:pt idx="2">
                  <c:v>MEDIO</c:v>
                </c:pt>
                <c:pt idx="3">
                  <c:v>ALTO</c:v>
                </c:pt>
                <c:pt idx="4">
                  <c:v>MUY ALTO</c:v>
                </c:pt>
              </c:strCache>
            </c:strRef>
          </c:cat>
          <c:val>
            <c:numRef>
              <c:f>'Graficas Guia de Referencia III'!$J$115:$N$115</c:f>
              <c:numCache>
                <c:formatCode>0.0%;\-0.0%;;@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64D-4B8E-A258-E0F667BC2AED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  <c:holeSize val="50"/>
      </c:doughnutChart>
    </c:plotArea>
    <c:legend>
      <c:legendPos val="r"/>
      <c:layout>
        <c:manualLayout>
          <c:xMode val="edge"/>
          <c:yMode val="edge"/>
          <c:x val="0.70997388831503006"/>
          <c:y val="0.24011831604812731"/>
          <c:w val="0.2502029842029197"/>
          <c:h val="0.43066466271498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Reconocimiento del desempeño</a:t>
            </a:r>
          </a:p>
        </c:rich>
      </c:tx>
      <c:layout>
        <c:manualLayout>
          <c:xMode val="edge"/>
          <c:yMode val="edge"/>
          <c:x val="0.2177188391703451"/>
          <c:y val="7.229976218356662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7435426140520347"/>
          <c:y val="0.18899061039421816"/>
          <c:w val="0.34894597728677323"/>
          <c:h val="0.74399177288136331"/>
        </c:manualLayout>
      </c:layout>
      <c:doughnutChart>
        <c:varyColors val="1"/>
        <c:ser>
          <c:idx val="0"/>
          <c:order val="0"/>
          <c:tx>
            <c:strRef>
              <c:f>'Graficas Guia de Referencia III'!$I$116</c:f>
              <c:strCache>
                <c:ptCount val="1"/>
                <c:pt idx="0">
                  <c:v>Reconocimiento del desempeño</c:v>
                </c:pt>
              </c:strCache>
            </c:strRef>
          </c:tx>
          <c:dPt>
            <c:idx val="0"/>
            <c:bubble3D val="0"/>
            <c:spPr>
              <a:solidFill>
                <a:srgbClr val="B3E6FF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D40-4B5E-8F0E-E613B1F7DB91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9D40-4B5E-8F0E-E613B1F7DB9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9D40-4B5E-8F0E-E613B1F7DB91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9D40-4B5E-8F0E-E613B1F7DB91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9D40-4B5E-8F0E-E613B1F7DB91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'Graficas Guia de Referencia III'!$J$108:$N$108</c:f>
              <c:strCache>
                <c:ptCount val="5"/>
                <c:pt idx="0">
                  <c:v>NULO</c:v>
                </c:pt>
                <c:pt idx="1">
                  <c:v>BAJO</c:v>
                </c:pt>
                <c:pt idx="2">
                  <c:v>MEDIO</c:v>
                </c:pt>
                <c:pt idx="3">
                  <c:v>ALTO</c:v>
                </c:pt>
                <c:pt idx="4">
                  <c:v>MUY ALTO</c:v>
                </c:pt>
              </c:strCache>
            </c:strRef>
          </c:cat>
          <c:val>
            <c:numRef>
              <c:f>'Graficas Guia de Referencia III'!$J$116:$N$116</c:f>
              <c:numCache>
                <c:formatCode>0.0%;\-0.0%;;@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D40-4B5E-8F0E-E613B1F7DB91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  <c:holeSize val="50"/>
      </c:doughnutChart>
    </c:plotArea>
    <c:legend>
      <c:legendPos val="r"/>
      <c:layout>
        <c:manualLayout>
          <c:xMode val="edge"/>
          <c:yMode val="edge"/>
          <c:x val="0.79049727066109121"/>
          <c:y val="0.24011831604812731"/>
          <c:w val="0.16967953298990923"/>
          <c:h val="0.43066466271498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Relaciones en el trabajo</a:t>
            </a:r>
          </a:p>
        </c:rich>
      </c:tx>
      <c:layout>
        <c:manualLayout>
          <c:xMode val="edge"/>
          <c:yMode val="edge"/>
          <c:x val="0.21372166729875061"/>
          <c:y val="7.575278015513581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7435426140520347"/>
          <c:y val="0.18899061039421816"/>
          <c:w val="0.34894597728677323"/>
          <c:h val="0.74399177288136331"/>
        </c:manualLayout>
      </c:layout>
      <c:doughnutChart>
        <c:varyColors val="1"/>
        <c:ser>
          <c:idx val="0"/>
          <c:order val="0"/>
          <c:tx>
            <c:strRef>
              <c:f>'Graficas Guia de Referencia III'!$I$117</c:f>
              <c:strCache>
                <c:ptCount val="1"/>
                <c:pt idx="0">
                  <c:v>Relaciones en el trabajo</c:v>
                </c:pt>
              </c:strCache>
            </c:strRef>
          </c:tx>
          <c:dPt>
            <c:idx val="0"/>
            <c:bubble3D val="0"/>
            <c:spPr>
              <a:solidFill>
                <a:srgbClr val="B3E6FF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5A6-45DC-B717-E0EF9D45CA74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15A6-45DC-B717-E0EF9D45CA74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15A6-45DC-B717-E0EF9D45CA74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15A6-45DC-B717-E0EF9D45CA74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15A6-45DC-B717-E0EF9D45CA74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'Graficas Guia de Referencia III'!$J$108:$N$108</c:f>
              <c:strCache>
                <c:ptCount val="5"/>
                <c:pt idx="0">
                  <c:v>NULO</c:v>
                </c:pt>
                <c:pt idx="1">
                  <c:v>BAJO</c:v>
                </c:pt>
                <c:pt idx="2">
                  <c:v>MEDIO</c:v>
                </c:pt>
                <c:pt idx="3">
                  <c:v>ALTO</c:v>
                </c:pt>
                <c:pt idx="4">
                  <c:v>MUY ALTO</c:v>
                </c:pt>
              </c:strCache>
            </c:strRef>
          </c:cat>
          <c:val>
            <c:numRef>
              <c:f>'Graficas Guia de Referencia III'!$J$117:$N$117</c:f>
              <c:numCache>
                <c:formatCode>0.0%;\-0.0%;;@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5A6-45DC-B717-E0EF9D45CA74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  <c:holeSize val="50"/>
      </c:doughnutChart>
    </c:plotArea>
    <c:legend>
      <c:legendPos val="r"/>
      <c:layout>
        <c:manualLayout>
          <c:xMode val="edge"/>
          <c:yMode val="edge"/>
          <c:x val="0.70553533917296096"/>
          <c:y val="0.24011831604812731"/>
          <c:w val="0.25464144076772671"/>
          <c:h val="0.43066466271498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Violencia</a:t>
            </a:r>
          </a:p>
        </c:rich>
      </c:tx>
      <c:layout>
        <c:manualLayout>
          <c:xMode val="edge"/>
          <c:yMode val="edge"/>
          <c:x val="0.38219468580337396"/>
          <c:y val="6.543712355835286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7435426140520347"/>
          <c:y val="0.18899061039421816"/>
          <c:w val="0.34894597728677323"/>
          <c:h val="0.74399177288136331"/>
        </c:manualLayout>
      </c:layout>
      <c:doughnutChart>
        <c:varyColors val="1"/>
        <c:ser>
          <c:idx val="0"/>
          <c:order val="0"/>
          <c:tx>
            <c:strRef>
              <c:f>'Graficas Guia de Referencia III'!$I$118</c:f>
              <c:strCache>
                <c:ptCount val="1"/>
                <c:pt idx="0">
                  <c:v>Violencia</c:v>
                </c:pt>
              </c:strCache>
            </c:strRef>
          </c:tx>
          <c:dPt>
            <c:idx val="0"/>
            <c:bubble3D val="0"/>
            <c:spPr>
              <a:solidFill>
                <a:srgbClr val="B3E6FF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F7D-4BDF-861E-9C982C8D3A27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9F7D-4BDF-861E-9C982C8D3A2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9F7D-4BDF-861E-9C982C8D3A27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9F7D-4BDF-861E-9C982C8D3A27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9F7D-4BDF-861E-9C982C8D3A27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'Graficas Guia de Referencia III'!$J$108:$N$108</c:f>
              <c:strCache>
                <c:ptCount val="5"/>
                <c:pt idx="0">
                  <c:v>NULO</c:v>
                </c:pt>
                <c:pt idx="1">
                  <c:v>BAJO</c:v>
                </c:pt>
                <c:pt idx="2">
                  <c:v>MEDIO</c:v>
                </c:pt>
                <c:pt idx="3">
                  <c:v>ALTO</c:v>
                </c:pt>
                <c:pt idx="4">
                  <c:v>MUY ALTO</c:v>
                </c:pt>
              </c:strCache>
            </c:strRef>
          </c:cat>
          <c:val>
            <c:numRef>
              <c:f>'Graficas Guia de Referencia III'!$J$118:$N$118</c:f>
              <c:numCache>
                <c:formatCode>0.0%;\-0.0%;;@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F7D-4BDF-861E-9C982C8D3A27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>
        <c:manualLayout>
          <c:xMode val="edge"/>
          <c:yMode val="edge"/>
          <c:x val="0.79049727066109121"/>
          <c:y val="0.24011831604812731"/>
          <c:w val="0.16967953298990923"/>
          <c:h val="0.43066466271498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Carga de trabajo</a:t>
            </a:r>
          </a:p>
        </c:rich>
      </c:tx>
      <c:layout>
        <c:manualLayout>
          <c:xMode val="edge"/>
          <c:yMode val="edge"/>
          <c:x val="0.31052732752324774"/>
          <c:y val="6.889089044009107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7435426140520347"/>
          <c:y val="0.18899061039421816"/>
          <c:w val="0.34894597728677323"/>
          <c:h val="0.74399177288136331"/>
        </c:manualLayout>
      </c:layout>
      <c:doughnutChart>
        <c:varyColors val="1"/>
        <c:ser>
          <c:idx val="0"/>
          <c:order val="0"/>
          <c:tx>
            <c:strRef>
              <c:f>'Graficas Guia de Referencia III'!$I$109</c:f>
              <c:strCache>
                <c:ptCount val="1"/>
                <c:pt idx="0">
                  <c:v>Carga de trabajo</c:v>
                </c:pt>
              </c:strCache>
            </c:strRef>
          </c:tx>
          <c:dPt>
            <c:idx val="0"/>
            <c:bubble3D val="0"/>
            <c:spPr>
              <a:solidFill>
                <a:srgbClr val="B3E6FF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0004-4FC0-A86B-C6B02877722E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0004-4FC0-A86B-C6B02877722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0004-4FC0-A86B-C6B02877722E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0004-4FC0-A86B-C6B02877722E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0004-4FC0-A86B-C6B02877722E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'Graficas Guia de Referencia III'!$J$108:$N$108</c:f>
              <c:strCache>
                <c:ptCount val="5"/>
                <c:pt idx="0">
                  <c:v>NULO</c:v>
                </c:pt>
                <c:pt idx="1">
                  <c:v>BAJO</c:v>
                </c:pt>
                <c:pt idx="2">
                  <c:v>MEDIO</c:v>
                </c:pt>
                <c:pt idx="3">
                  <c:v>ALTO</c:v>
                </c:pt>
                <c:pt idx="4">
                  <c:v>MUY ALTO</c:v>
                </c:pt>
              </c:strCache>
            </c:strRef>
          </c:cat>
          <c:val>
            <c:numRef>
              <c:f>'Graficas Guia de Referencia III'!$J$109:$N$109</c:f>
              <c:numCache>
                <c:formatCode>0.0%;\-0.0%;;@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004-4FC0-A86B-C6B02877722E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>
        <c:manualLayout>
          <c:xMode val="edge"/>
          <c:yMode val="edge"/>
          <c:x val="0.69848817094421445"/>
          <c:y val="0.24011831604812731"/>
          <c:w val="0.26168855173148264"/>
          <c:h val="0.437824007991539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Condiciones en el ambiente de trabajo</a:t>
            </a:r>
          </a:p>
        </c:rich>
      </c:tx>
      <c:layout>
        <c:manualLayout>
          <c:xMode val="edge"/>
          <c:yMode val="edge"/>
          <c:x val="0.14907666940656547"/>
          <c:y val="6.888358015508100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7435426140520347"/>
          <c:y val="0.18899061039421816"/>
          <c:w val="0.34894597728677323"/>
          <c:h val="0.74399177288136331"/>
        </c:manualLayout>
      </c:layout>
      <c:doughnutChart>
        <c:varyColors val="1"/>
        <c:ser>
          <c:idx val="0"/>
          <c:order val="0"/>
          <c:tx>
            <c:strRef>
              <c:f>'Graficas Guia de Referencia III'!$I$110</c:f>
              <c:strCache>
                <c:ptCount val="1"/>
                <c:pt idx="0">
                  <c:v>Condiciones en el ambiente de trabajo</c:v>
                </c:pt>
              </c:strCache>
            </c:strRef>
          </c:tx>
          <c:dPt>
            <c:idx val="0"/>
            <c:bubble3D val="0"/>
            <c:spPr>
              <a:solidFill>
                <a:srgbClr val="B3E6FF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4913-4D85-A57A-DC8092653F39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4913-4D85-A57A-DC8092653F39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4913-4D85-A57A-DC8092653F39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4913-4D85-A57A-DC8092653F39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4913-4D85-A57A-DC8092653F39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'Graficas Guia de Referencia III'!$J$108:$N$108</c:f>
              <c:strCache>
                <c:ptCount val="5"/>
                <c:pt idx="0">
                  <c:v>NULO</c:v>
                </c:pt>
                <c:pt idx="1">
                  <c:v>BAJO</c:v>
                </c:pt>
                <c:pt idx="2">
                  <c:v>MEDIO</c:v>
                </c:pt>
                <c:pt idx="3">
                  <c:v>ALTO</c:v>
                </c:pt>
                <c:pt idx="4">
                  <c:v>MUY ALTO</c:v>
                </c:pt>
              </c:strCache>
            </c:strRef>
          </c:cat>
          <c:val>
            <c:numRef>
              <c:f>'Graficas Guia de Referencia III'!$J$110:$N$110</c:f>
              <c:numCache>
                <c:formatCode>0.0%;\-0.0%;;@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913-4D85-A57A-DC8092653F39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>
        <c:manualLayout>
          <c:xMode val="edge"/>
          <c:yMode val="edge"/>
          <c:x val="0.79049727066109121"/>
          <c:y val="0.24011831604812731"/>
          <c:w val="0.16967953298990923"/>
          <c:h val="0.43066466271498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13" Type="http://schemas.openxmlformats.org/officeDocument/2006/relationships/chart" Target="../charts/chart14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12" Type="http://schemas.openxmlformats.org/officeDocument/2006/relationships/chart" Target="../charts/chart13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5" Type="http://schemas.openxmlformats.org/officeDocument/2006/relationships/chart" Target="../charts/chart6.xml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13" Type="http://schemas.openxmlformats.org/officeDocument/2006/relationships/chart" Target="../charts/chart27.xml"/><Relationship Id="rId3" Type="http://schemas.openxmlformats.org/officeDocument/2006/relationships/chart" Target="../charts/chart17.xml"/><Relationship Id="rId7" Type="http://schemas.openxmlformats.org/officeDocument/2006/relationships/chart" Target="../charts/chart21.xml"/><Relationship Id="rId12" Type="http://schemas.openxmlformats.org/officeDocument/2006/relationships/chart" Target="../charts/chart26.xml"/><Relationship Id="rId2" Type="http://schemas.openxmlformats.org/officeDocument/2006/relationships/chart" Target="../charts/chart16.xml"/><Relationship Id="rId16" Type="http://schemas.openxmlformats.org/officeDocument/2006/relationships/chart" Target="../charts/chart30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11" Type="http://schemas.openxmlformats.org/officeDocument/2006/relationships/chart" Target="../charts/chart25.xml"/><Relationship Id="rId5" Type="http://schemas.openxmlformats.org/officeDocument/2006/relationships/chart" Target="../charts/chart19.xml"/><Relationship Id="rId15" Type="http://schemas.openxmlformats.org/officeDocument/2006/relationships/chart" Target="../charts/chart29.xml"/><Relationship Id="rId10" Type="http://schemas.openxmlformats.org/officeDocument/2006/relationships/chart" Target="../charts/chart24.xml"/><Relationship Id="rId4" Type="http://schemas.openxmlformats.org/officeDocument/2006/relationships/chart" Target="../charts/chart18.xml"/><Relationship Id="rId9" Type="http://schemas.openxmlformats.org/officeDocument/2006/relationships/chart" Target="../charts/chart23.xml"/><Relationship Id="rId14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1933575</xdr:colOff>
      <xdr:row>2</xdr:row>
      <xdr:rowOff>147637</xdr:rowOff>
    </xdr:from>
    <xdr:to>
      <xdr:col>10</xdr:col>
      <xdr:colOff>66675</xdr:colOff>
      <xdr:row>17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10DD69-4587-4847-9F1D-07DC44D8F8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685800</xdr:colOff>
      <xdr:row>2</xdr:row>
      <xdr:rowOff>185737</xdr:rowOff>
    </xdr:from>
    <xdr:to>
      <xdr:col>5</xdr:col>
      <xdr:colOff>409575</xdr:colOff>
      <xdr:row>17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25DB28F-35D3-46BF-BD95-749646D866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468814</xdr:colOff>
      <xdr:row>2</xdr:row>
      <xdr:rowOff>168777</xdr:rowOff>
    </xdr:from>
    <xdr:to>
      <xdr:col>12</xdr:col>
      <xdr:colOff>522712</xdr:colOff>
      <xdr:row>17</xdr:row>
      <xdr:rowOff>54477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D7531D2-5DB1-42D5-9A37-F25119174B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695325</xdr:colOff>
      <xdr:row>18</xdr:row>
      <xdr:rowOff>133350</xdr:rowOff>
    </xdr:from>
    <xdr:to>
      <xdr:col>5</xdr:col>
      <xdr:colOff>419100</xdr:colOff>
      <xdr:row>33</xdr:row>
      <xdr:rowOff>162622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0A68112-1C4F-4271-9CBF-36F59526DB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457199</xdr:colOff>
      <xdr:row>18</xdr:row>
      <xdr:rowOff>133350</xdr:rowOff>
    </xdr:from>
    <xdr:to>
      <xdr:col>12</xdr:col>
      <xdr:colOff>522712</xdr:colOff>
      <xdr:row>33</xdr:row>
      <xdr:rowOff>151006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CF04DB9-B67B-4A18-A2B6-55620830BD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695324</xdr:colOff>
      <xdr:row>34</xdr:row>
      <xdr:rowOff>69697</xdr:rowOff>
    </xdr:from>
    <xdr:to>
      <xdr:col>5</xdr:col>
      <xdr:colOff>441402</xdr:colOff>
      <xdr:row>48</xdr:row>
      <xdr:rowOff>57151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EF938CC-B6BE-413B-948D-6EC565281F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457199</xdr:colOff>
      <xdr:row>34</xdr:row>
      <xdr:rowOff>58080</xdr:rowOff>
    </xdr:from>
    <xdr:to>
      <xdr:col>12</xdr:col>
      <xdr:colOff>406555</xdr:colOff>
      <xdr:row>48</xdr:row>
      <xdr:rowOff>66675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E794226-6EB0-4750-9ADD-2B90B32A3A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695325</xdr:colOff>
      <xdr:row>49</xdr:row>
      <xdr:rowOff>85725</xdr:rowOff>
    </xdr:from>
    <xdr:to>
      <xdr:col>5</xdr:col>
      <xdr:colOff>419100</xdr:colOff>
      <xdr:row>63</xdr:row>
      <xdr:rowOff>161925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12A25662-3CAB-4950-BBDD-F9531485F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466724</xdr:colOff>
      <xdr:row>49</xdr:row>
      <xdr:rowOff>85725</xdr:rowOff>
    </xdr:from>
    <xdr:to>
      <xdr:col>12</xdr:col>
      <xdr:colOff>348474</xdr:colOff>
      <xdr:row>64</xdr:row>
      <xdr:rowOff>11615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DB5B545F-3F67-4172-A47C-AFFD91F97C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92927</xdr:colOff>
      <xdr:row>75</xdr:row>
      <xdr:rowOff>0</xdr:rowOff>
    </xdr:from>
    <xdr:to>
      <xdr:col>5</xdr:col>
      <xdr:colOff>34847</xdr:colOff>
      <xdr:row>87</xdr:row>
      <xdr:rowOff>34847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7EA00D57-4AD3-422D-879E-1E946CDAA9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104541</xdr:colOff>
      <xdr:row>77</xdr:row>
      <xdr:rowOff>104543</xdr:rowOff>
    </xdr:from>
    <xdr:to>
      <xdr:col>10</xdr:col>
      <xdr:colOff>499481</xdr:colOff>
      <xdr:row>94</xdr:row>
      <xdr:rowOff>58079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4968FEE2-E3AB-4DF4-AF78-494455562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88</xdr:row>
      <xdr:rowOff>34847</xdr:rowOff>
    </xdr:from>
    <xdr:to>
      <xdr:col>4</xdr:col>
      <xdr:colOff>534330</xdr:colOff>
      <xdr:row>104</xdr:row>
      <xdr:rowOff>104543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72F76602-6166-4FC9-A2C2-A9F4B8C500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104544</xdr:colOff>
      <xdr:row>95</xdr:row>
      <xdr:rowOff>23231</xdr:rowOff>
    </xdr:from>
    <xdr:to>
      <xdr:col>10</xdr:col>
      <xdr:colOff>476251</xdr:colOff>
      <xdr:row>111</xdr:row>
      <xdr:rowOff>139390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5CF18468-B0C2-48E4-AD80-B47AB36D94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288308</xdr:colOff>
      <xdr:row>122</xdr:row>
      <xdr:rowOff>100592</xdr:rowOff>
    </xdr:from>
    <xdr:to>
      <xdr:col>8</xdr:col>
      <xdr:colOff>2148933</xdr:colOff>
      <xdr:row>138</xdr:row>
      <xdr:rowOff>185853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0EDEAE84-5D4A-4F4E-A202-F3CCE7B5A5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245341</xdr:colOff>
      <xdr:row>179</xdr:row>
      <xdr:rowOff>158750</xdr:rowOff>
    </xdr:from>
    <xdr:to>
      <xdr:col>8</xdr:col>
      <xdr:colOff>3410241</xdr:colOff>
      <xdr:row>197</xdr:row>
      <xdr:rowOff>60005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D8F0AC83-4D24-429E-9A3B-66F7720DF4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1529772</xdr:colOff>
      <xdr:row>151</xdr:row>
      <xdr:rowOff>158750</xdr:rowOff>
    </xdr:from>
    <xdr:to>
      <xdr:col>14</xdr:col>
      <xdr:colOff>76491</xdr:colOff>
      <xdr:row>169</xdr:row>
      <xdr:rowOff>161027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454D4610-B24D-40F8-B867-E37C061AF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1298864</xdr:colOff>
      <xdr:row>142</xdr:row>
      <xdr:rowOff>129887</xdr:rowOff>
    </xdr:from>
    <xdr:to>
      <xdr:col>5</xdr:col>
      <xdr:colOff>1072288</xdr:colOff>
      <xdr:row>160</xdr:row>
      <xdr:rowOff>132164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1AD1CBE8-D8C5-46BE-AB61-4D6F56B730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1404535</xdr:colOff>
      <xdr:row>124</xdr:row>
      <xdr:rowOff>0</xdr:rowOff>
    </xdr:from>
    <xdr:to>
      <xdr:col>5</xdr:col>
      <xdr:colOff>1177959</xdr:colOff>
      <xdr:row>140</xdr:row>
      <xdr:rowOff>50709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B925416C-9A53-4CFF-BE62-1A303A3D39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742627</xdr:colOff>
      <xdr:row>120</xdr:row>
      <xdr:rowOff>80720</xdr:rowOff>
    </xdr:from>
    <xdr:to>
      <xdr:col>8</xdr:col>
      <xdr:colOff>3082958</xdr:colOff>
      <xdr:row>132</xdr:row>
      <xdr:rowOff>82997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68C4A440-3C66-4792-A98D-C1D37B10E8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1501399</xdr:colOff>
      <xdr:row>133</xdr:row>
      <xdr:rowOff>80720</xdr:rowOff>
    </xdr:from>
    <xdr:to>
      <xdr:col>14</xdr:col>
      <xdr:colOff>80162</xdr:colOff>
      <xdr:row>149</xdr:row>
      <xdr:rowOff>131429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29BCAD23-24B1-41DB-9E1C-889B80257B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1504243</xdr:colOff>
      <xdr:row>24</xdr:row>
      <xdr:rowOff>14236</xdr:rowOff>
    </xdr:from>
    <xdr:to>
      <xdr:col>5</xdr:col>
      <xdr:colOff>1267044</xdr:colOff>
      <xdr:row>42</xdr:row>
      <xdr:rowOff>132988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19F01F50-5B33-4EFC-9DF3-3A0BB9E97E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1395102</xdr:colOff>
      <xdr:row>24</xdr:row>
      <xdr:rowOff>11646</xdr:rowOff>
    </xdr:from>
    <xdr:to>
      <xdr:col>13</xdr:col>
      <xdr:colOff>683811</xdr:colOff>
      <xdr:row>42</xdr:row>
      <xdr:rowOff>138163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026B5B39-B48E-4C8A-8FD1-F51A7EDCEE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1496787</xdr:colOff>
      <xdr:row>45</xdr:row>
      <xdr:rowOff>2590</xdr:rowOff>
    </xdr:from>
    <xdr:to>
      <xdr:col>6</xdr:col>
      <xdr:colOff>8757</xdr:colOff>
      <xdr:row>63</xdr:row>
      <xdr:rowOff>121342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7EB65DA3-D047-4367-8AB9-8A9536583A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1387646</xdr:colOff>
      <xdr:row>45</xdr:row>
      <xdr:rowOff>0</xdr:rowOff>
    </xdr:from>
    <xdr:to>
      <xdr:col>13</xdr:col>
      <xdr:colOff>676355</xdr:colOff>
      <xdr:row>63</xdr:row>
      <xdr:rowOff>126517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362C1AA4-214A-4656-BDC3-15B5FEA01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1542145</xdr:colOff>
      <xdr:row>65</xdr:row>
      <xdr:rowOff>93304</xdr:rowOff>
    </xdr:from>
    <xdr:to>
      <xdr:col>6</xdr:col>
      <xdr:colOff>34946</xdr:colOff>
      <xdr:row>84</xdr:row>
      <xdr:rowOff>30628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05DECE96-D3E9-4594-BA26-97252A43A9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1433004</xdr:colOff>
      <xdr:row>65</xdr:row>
      <xdr:rowOff>90714</xdr:rowOff>
    </xdr:from>
    <xdr:to>
      <xdr:col>13</xdr:col>
      <xdr:colOff>721713</xdr:colOff>
      <xdr:row>84</xdr:row>
      <xdr:rowOff>35803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8A6219AD-D102-463D-8DB3-F1D8D10668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1496788</xdr:colOff>
      <xdr:row>86</xdr:row>
      <xdr:rowOff>93304</xdr:rowOff>
    </xdr:from>
    <xdr:to>
      <xdr:col>5</xdr:col>
      <xdr:colOff>1259589</xdr:colOff>
      <xdr:row>105</xdr:row>
      <xdr:rowOff>30628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808C532C-94BC-4C6B-9B56-3FA0751449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1387647</xdr:colOff>
      <xdr:row>86</xdr:row>
      <xdr:rowOff>90714</xdr:rowOff>
    </xdr:from>
    <xdr:to>
      <xdr:col>13</xdr:col>
      <xdr:colOff>676356</xdr:colOff>
      <xdr:row>105</xdr:row>
      <xdr:rowOff>35803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EE091B47-5713-4244-9C95-07EC1367EC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1504243</xdr:colOff>
      <xdr:row>3</xdr:row>
      <xdr:rowOff>9657</xdr:rowOff>
    </xdr:from>
    <xdr:to>
      <xdr:col>5</xdr:col>
      <xdr:colOff>1267044</xdr:colOff>
      <xdr:row>21</xdr:row>
      <xdr:rowOff>128409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3E7E2CD3-F90C-4E2F-96A3-405D3C1E5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1395102</xdr:colOff>
      <xdr:row>3</xdr:row>
      <xdr:rowOff>7067</xdr:rowOff>
    </xdr:from>
    <xdr:to>
      <xdr:col>13</xdr:col>
      <xdr:colOff>683811</xdr:colOff>
      <xdr:row>21</xdr:row>
      <xdr:rowOff>133584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B78006A7-47E6-4D61-BD14-C7F4328133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sde ESTUDIOS" connectionId="9" xr16:uid="{00000000-0016-0000-0000-000000000000}" autoFormatId="16" applyNumberFormats="0" applyBorderFormats="0" applyFontFormats="0" applyPatternFormats="0" applyAlignmentFormats="0" applyWidthHeightFormats="0">
  <queryTableRefresh nextId="3">
    <queryTableFields count="2">
      <queryTableField id="1" name="Titulo" tableColumnId="1"/>
      <queryTableField id="2" name=" 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sde ValoracionClinica_1" connectionId="13" xr16:uid="{00000000-0016-0000-0000-000001000000}" autoFormatId="16" applyNumberFormats="0" applyBorderFormats="0" applyFontFormats="0" applyPatternFormats="0" applyAlignmentFormats="0" applyWidthHeightFormats="0">
  <queryTableRefresh nextId="3">
    <queryTableFields count="2">
      <queryTableField id="1" name="REQUIERE ATENCIÓN CLINICA" tableColumnId="1"/>
      <queryTableField id="2" name="NO REQUIERE ATENCIÓN CLINICA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sde CategoriaGuiaII" headers="0" growShrinkType="overwriteClear" connectionId="2" xr16:uid="{00000000-0016-0000-0100-000002000000}" autoFormatId="16" applyNumberFormats="0" applyBorderFormats="0" applyFontFormats="0" applyPatternFormats="0" applyAlignmentFormats="0" applyWidthHeightFormats="0">
  <queryTableRefresh headersInLastRefresh="0" nextId="21">
    <queryTableFields count="16">
      <queryTableField id="19" name="Instalacion" tableColumnId="1"/>
      <queryTableField id="3" name="FechaEvaluacion" tableColumnId="39"/>
      <queryTableField id="2" name="Nombre" tableColumnId="38"/>
      <queryTableField id="5" name="Sexo" tableColumnId="41"/>
      <queryTableField id="6" name="Edad" tableColumnId="42"/>
      <queryTableField id="7" name="EstadoCivil" tableColumnId="43"/>
      <queryTableField id="8" name="NivelEstudio" tableColumnId="44"/>
      <queryTableField id="9" name="TipoContratacion" tableColumnId="45"/>
      <queryTableField id="10" name="ExperienciaLaboral" tableColumnId="46"/>
      <queryTableField id="11" name="AntiguedadPuesto" tableColumnId="47"/>
      <queryTableField id="12" name="Rota Turnos" tableColumnId="48"/>
      <queryTableField id="13" name="Puesto_Categoria" tableColumnId="49"/>
      <queryTableField id="14" name="Departamento_Area" tableColumnId="50"/>
      <queryTableField id="15" name="TipoPersonal" tableColumnId="51"/>
      <queryTableField id="16" name="TipoJornada" tableColumnId="52"/>
      <queryTableField id="17" name="TipoPuesto" tableColumnId="53"/>
    </queryTableFields>
    <queryTableDeletedFields count="1">
      <deletedField name="Nombre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sde Matriz Homogenea" growShrinkType="overwriteClear" connectionId="11" xr16:uid="{00000000-0016-0000-0300-000003000000}" autoFormatId="16" applyNumberFormats="0" applyBorderFormats="0" applyFontFormats="0" applyPatternFormats="0" applyAlignmentFormats="0" applyWidthHeightFormats="0">
  <queryTableRefresh nextId="20">
    <queryTableFields count="12">
      <queryTableField id="1" name="Nombre" tableColumnId="13"/>
      <queryTableField id="2" name="Puesto Categoría" tableColumnId="14"/>
      <queryTableField id="13" name="Acontecimientos traumáticos severos" tableColumnId="2"/>
      <queryTableField id="4" name="Condiciones en el ambiente de trabajo" tableColumnId="16"/>
      <queryTableField id="5" name="Carga de trabajo" tableColumnId="17"/>
      <queryTableField id="6" name="Falta de control sobre el trabajo" tableColumnId="18"/>
      <queryTableField id="7" name="Jornada de trabajo" tableColumnId="19"/>
      <queryTableField id="8" name="Interferencia en la relación trabajo-familia" tableColumnId="20"/>
      <queryTableField id="9" name="Liderazgo" tableColumnId="21"/>
      <queryTableField id="10" name="Relaciones en el trabajo" tableColumnId="22"/>
      <queryTableField id="11" name="Violencia" tableColumnId="23"/>
      <queryTableField id="14" name="CALIFICACIÓN FINAL" tableColumnId="3"/>
    </queryTableFields>
    <queryTableDeletedFields count="2">
      <deletedField name="No"/>
      <deletedField name="N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sde CategoriaGuiaII_1" connectionId="3" xr16:uid="{00000000-0016-0000-0400-000004000000}" autoFormatId="16" applyNumberFormats="0" applyBorderFormats="0" applyFontFormats="0" applyPatternFormats="0" applyAlignmentFormats="0" applyWidthHeightFormats="0">
  <queryTableRefresh nextId="13" unboundColumnsRight="1">
    <queryTableFields count="7">
      <queryTableField id="1" name="Categoria" tableColumnId="1"/>
      <queryTableField id="2" name="NULO" tableColumnId="2"/>
      <queryTableField id="3" name="BAJO" tableColumnId="3"/>
      <queryTableField id="4" name="MEDIO" tableColumnId="4"/>
      <queryTableField id="5" name="ALTO" tableColumnId="5"/>
      <queryTableField id="6" name="MUY ALTO" tableColumnId="6"/>
      <queryTableField id="7" dataBound="0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sde Graficas Anexo2" connectionId="10" xr16:uid="{00000000-0016-0000-0400-000005000000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Dominio" tableColumnId="1"/>
      <queryTableField id="2" name="NULO" tableColumnId="2"/>
      <queryTableField id="3" name="BAJO" tableColumnId="3"/>
      <queryTableField id="4" name="MEDIO" tableColumnId="4"/>
      <queryTableField id="5" name="ALTO" tableColumnId="5"/>
      <queryTableField id="6" name="MUY ALTO" tableColumnId="6"/>
      <queryTableField id="7" dataBound="0" tableColumnId="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sde CategoriaGuiaII" connectionId="4" xr16:uid="{00000000-0016-0000-0400-000006000000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Categoria" tableColumnId="1"/>
      <queryTableField id="2" name="NULO" tableColumnId="2"/>
      <queryTableField id="3" name="BAJO" tableColumnId="3"/>
      <queryTableField id="4" name="MEDIO" tableColumnId="4"/>
      <queryTableField id="5" name="ALTO" tableColumnId="5"/>
      <queryTableField id="6" name="MUY ALTO" tableColumnId="6"/>
      <queryTableField id="7" dataBound="0" tableColumnId="7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sde CuestionarioGUIAII_1" connectionId="7" xr16:uid="{00000000-0016-0000-0400-000007000000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Cuestionario" tableColumnId="1"/>
      <queryTableField id="2" name="NULO" tableColumnId="2"/>
      <queryTableField id="3" name="BAJO" tableColumnId="3"/>
      <queryTableField id="4" name="MEDIO" tableColumnId="4"/>
      <queryTableField id="5" name="ALTO" tableColumnId="5"/>
      <queryTableField id="6" name="MUY ALTO" tableColumnId="6"/>
      <queryTableField id="7" dataBound="0" tableColumnId="7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sde Matriz Homogenea GUIA III" connectionId="12" xr16:uid="{4BB531F9-9AF1-489E-B0B9-117DE4340BB5}" autoFormatId="16" applyNumberFormats="0" applyBorderFormats="0" applyFontFormats="0" applyPatternFormats="0" applyAlignmentFormats="0" applyWidthHeightFormats="0">
  <queryTableRefresh nextId="21">
    <queryTableFields count="15">
      <queryTableField id="6" name="No" tableColumnId="6"/>
      <queryTableField id="7" name="Nombre" tableColumnId="7"/>
      <queryTableField id="8" name="Puesto Categoría" tableColumnId="8"/>
      <queryTableField id="9" name="Acontecimientos traumáticos severos" tableColumnId="9"/>
      <queryTableField id="10" name="Condiciones en el ambiente de trabajo" tableColumnId="10"/>
      <queryTableField id="11" name="Carga de trabajo" tableColumnId="11"/>
      <queryTableField id="12" name="Falta de control sobre el trabajo" tableColumnId="12"/>
      <queryTableField id="13" name="Jornada de trabajo" tableColumnId="13"/>
      <queryTableField id="14" name="Interferencia en la relación trabajo-familia" tableColumnId="14"/>
      <queryTableField id="15" name="Liderazgo" tableColumnId="15"/>
      <queryTableField id="16" name="Relaciones en el trabajo" tableColumnId="16"/>
      <queryTableField id="17" name="Violencia" tableColumnId="17"/>
      <queryTableField id="18" name="Reconocimiento del desempeño" tableColumnId="18"/>
      <queryTableField id="19" name="Insuficiente sentido de_x000d__x000a_pertenencia e inestabilidad" tableColumnId="19"/>
      <queryTableField id="20" name="CALIFICACIÓN FINAL" tableColumnId="20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sde Dominios_GUIAIII" connectionId="8" xr16:uid="{91D5DFF1-B8F8-4392-ACBA-CDD7B3221ED3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Dominio" tableColumnId="1"/>
      <queryTableField id="2" name="NULO" tableColumnId="2"/>
      <queryTableField id="3" name="BAJO" tableColumnId="3"/>
      <queryTableField id="4" name="MEDIO" tableColumnId="4"/>
      <queryTableField id="5" name="ALTO" tableColumnId="5"/>
      <queryTableField id="6" name="MUY ALTO" tableColumnId="6"/>
      <queryTableField id="7" dataBound="0" tableColumnId="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sde Categorias_GUIAIII" connectionId="5" xr16:uid="{FBF8B2F4-8382-4189-A11F-198BF9DBF5EB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Categoria" tableColumnId="1"/>
      <queryTableField id="2" name="NULO" tableColumnId="2"/>
      <queryTableField id="3" name="BAJO" tableColumnId="3"/>
      <queryTableField id="4" name="MEDIO" tableColumnId="4"/>
      <queryTableField id="5" name="ALTO" tableColumnId="5"/>
      <queryTableField id="6" name="MUY ALTO" tableColumnId="6"/>
      <queryTableField id="7" dataBound="0" tableColumnId="7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sulta desde Cuestionario_GUIAIII" connectionId="6" xr16:uid="{BAD16BFC-6879-41AA-8B15-8BCAFF0EE2FF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Cuestionario" tableColumnId="1"/>
      <queryTableField id="2" name="NULO" tableColumnId="2"/>
      <queryTableField id="3" name="BAJO" tableColumnId="3"/>
      <queryTableField id="4" name="MEDIO" tableColumnId="4"/>
      <queryTableField id="5" name="ALTO" tableColumnId="5"/>
      <queryTableField id="6" name="MUY ALTO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Tabla_Consulta_desde_ESTUDIOS" displayName="Tabla_Consulta_desde_ESTUDIOS" ref="D4:E36" tableType="queryTable" totalsRowShown="0">
  <autoFilter ref="D4:E36" xr:uid="{00000000-0009-0000-0100-000007000000}"/>
  <tableColumns count="2">
    <tableColumn id="1" xr3:uid="{00000000-0010-0000-0000-000001000000}" uniqueName="1" name="Titulo" queryTableFieldId="1"/>
    <tableColumn id="2" xr3:uid="{00000000-0010-0000-0000-000002000000}" uniqueName="2" name=" " queryTableField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1000000}" name="Tabla_Consulta_desde_ValoracionClinica_1" displayName="Tabla_Consulta_desde_ValoracionClinica_1" ref="A4:B5" tableType="queryTable" totalsRowShown="0">
  <autoFilter ref="A4:B5" xr:uid="{00000000-0009-0000-0100-00000A000000}"/>
  <tableColumns count="2">
    <tableColumn id="1" xr3:uid="{00000000-0010-0000-0100-000001000000}" uniqueName="1" name="REQUIERE ATENCIÓN CLINICA" queryTableFieldId="1"/>
    <tableColumn id="2" xr3:uid="{00000000-0010-0000-0100-000002000000}" uniqueName="2" name="NO REQUIERE ATENCIÓN CLINICA" queryTableField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2000000}" name="Tabla_Consulta_desde_CategoriaGuiaII14" displayName="Tabla_Consulta_desde_CategoriaGuiaII14" ref="A8:P16" tableType="queryTable" headerRowCount="0" totalsRowShown="0" headerRowDxfId="132" dataDxfId="130" headerRowBorderDxfId="131" tableBorderDxfId="129" totalsRowBorderDxfId="128">
  <tableColumns count="16">
    <tableColumn id="1" xr3:uid="{0E99AFB6-F03F-4C86-8FD7-2D7B0D56BF7C}" uniqueName="1" name="Instalacion" queryTableFieldId="19" headerRowDxfId="127" dataDxfId="91"/>
    <tableColumn id="39" xr3:uid="{AE626AFB-01C2-4ADE-A391-BE209F7F7AA7}" uniqueName="39" name="FechaEvaluacion" queryTableFieldId="3" headerRowDxfId="126" dataDxfId="90"/>
    <tableColumn id="38" xr3:uid="{DE33C6F6-49AA-4C7E-8018-CCAE6799471B}" uniqueName="38" name="Nombre" queryTableFieldId="2" headerRowDxfId="125" dataDxfId="89"/>
    <tableColumn id="41" xr3:uid="{1E0D8492-1FD6-4ED7-A1AD-45A8417C772E}" uniqueName="41" name="Sexo" queryTableFieldId="5" headerRowDxfId="124" dataDxfId="88"/>
    <tableColumn id="42" xr3:uid="{B8B0B275-F64D-4408-9EAE-D2D18B100A39}" uniqueName="42" name="Edad" queryTableFieldId="6" headerRowDxfId="123" dataDxfId="87"/>
    <tableColumn id="43" xr3:uid="{931F63CE-607F-4A73-9734-7126DCB32571}" uniqueName="43" name="EstadoCivil" queryTableFieldId="7" headerRowDxfId="122" dataDxfId="86"/>
    <tableColumn id="44" xr3:uid="{C766622B-2EFC-4C27-BF1B-1F00E36A6895}" uniqueName="44" name="NivelEstudio" queryTableFieldId="8" headerRowDxfId="121" dataDxfId="85"/>
    <tableColumn id="45" xr3:uid="{A04817F7-5FCA-4984-B9A2-3BBD6780F5E1}" uniqueName="45" name="TipoContratacion" queryTableFieldId="9" headerRowDxfId="120" dataDxfId="84"/>
    <tableColumn id="46" xr3:uid="{39C940CC-7D70-4FD7-8301-E4E5A12EE25E}" uniqueName="46" name="ExperienciaLaboral" queryTableFieldId="10" headerRowDxfId="119" dataDxfId="83"/>
    <tableColumn id="47" xr3:uid="{FDEE04B7-012D-49A9-A7FB-92AF4D671B6C}" uniqueName="47" name="AntiguedadPuesto" queryTableFieldId="11" headerRowDxfId="118" dataDxfId="82"/>
    <tableColumn id="48" xr3:uid="{9C9D1BC6-2CCB-45B4-BB3E-B90D56F5EADE}" uniqueName="48" name="Rota Turnos" queryTableFieldId="12" headerRowDxfId="117" dataDxfId="81"/>
    <tableColumn id="49" xr3:uid="{A42799B0-25E0-414F-8FF8-476E2E0D82C8}" uniqueName="49" name="Puesto_Categoria" queryTableFieldId="13" headerRowDxfId="116" dataDxfId="80"/>
    <tableColumn id="50" xr3:uid="{D4CC8AC4-FC46-42F6-9DAA-549922343D92}" uniqueName="50" name="Departamento_Area" queryTableFieldId="14" headerRowDxfId="115" dataDxfId="79"/>
    <tableColumn id="51" xr3:uid="{2A903EA7-F875-4BED-AF75-0DABB3F3153E}" uniqueName="51" name="TipoPersonal" queryTableFieldId="15" headerRowDxfId="114" dataDxfId="78"/>
    <tableColumn id="52" xr3:uid="{941C0E45-5640-49A2-8CB0-2E84851D5001}" uniqueName="52" name="TipoJornada" queryTableFieldId="16" headerRowDxfId="113" dataDxfId="77"/>
    <tableColumn id="53" xr3:uid="{A6975B94-2D36-41FC-A3E2-41D5D305B091}" uniqueName="53" name="TipoPuesto" queryTableFieldId="17" headerRowDxfId="112" dataDxfId="76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3000000}" name="Tabla_Consulta_desde_Matriz_Homogenea" displayName="Tabla_Consulta_desde_Matriz_Homogenea" ref="A4:L13" tableType="queryTable" totalsRowShown="0" headerRowDxfId="111" dataDxfId="109" headerRowBorderDxfId="110">
  <tableColumns count="12">
    <tableColumn id="13" xr3:uid="{432360A8-5206-4372-8259-7A1608523B13}" uniqueName="13" name="Nombre" queryTableFieldId="1" dataDxfId="75"/>
    <tableColumn id="14" xr3:uid="{1418AB64-914B-47F0-AE75-8D7E24908B86}" uniqueName="14" name="Puesto Categoría" queryTableFieldId="2" dataDxfId="74"/>
    <tableColumn id="2" xr3:uid="{CA4D37B7-A47C-4C92-806D-30D1DF5C9981}" uniqueName="2" name="Acontecimientos traumáticos severos" queryTableFieldId="13" dataDxfId="73"/>
    <tableColumn id="16" xr3:uid="{1425EF84-7C0D-48C4-AAE3-4918E3EE6DD6}" uniqueName="16" name="Condiciones en el ambiente de trabajo" queryTableFieldId="4" dataDxfId="72"/>
    <tableColumn id="17" xr3:uid="{3364B63A-EC26-461F-AE9A-54B98D03C106}" uniqueName="17" name="Carga de trabajo" queryTableFieldId="5" dataDxfId="71"/>
    <tableColumn id="18" xr3:uid="{4CCDAA4F-6315-44E0-9582-65326B5B6853}" uniqueName="18" name="Falta de control sobre el trabajo" queryTableFieldId="6" dataDxfId="70"/>
    <tableColumn id="19" xr3:uid="{3031CEF5-3211-45D2-BE44-8A4FDC7733BC}" uniqueName="19" name="Jornada de trabajo" queryTableFieldId="7" dataDxfId="69"/>
    <tableColumn id="20" xr3:uid="{E9BD7C87-B493-428A-877F-8DB63107A88B}" uniqueName="20" name="Interferencia en la relación trabajo-familia" queryTableFieldId="8" dataDxfId="68"/>
    <tableColumn id="21" xr3:uid="{257A438F-2BD1-48C2-BDC1-957BB97D60EA}" uniqueName="21" name="Liderazgo" queryTableFieldId="9" dataDxfId="67"/>
    <tableColumn id="22" xr3:uid="{7C91BAA5-7A22-4B5D-9E2C-3FD8BD0F68DC}" uniqueName="22" name="Relaciones en el trabajo" queryTableFieldId="10" dataDxfId="66"/>
    <tableColumn id="23" xr3:uid="{680760FC-82B3-40C1-99F8-5D3DA43699CD}" uniqueName="23" name="Violencia" queryTableFieldId="11" dataDxfId="65"/>
    <tableColumn id="3" xr3:uid="{418A39D9-AD5D-4B39-8B17-2DC3105E418A}" uniqueName="3" name="CALIFICACIÓN FINAL" queryTableFieldId="14" dataDxfId="6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4000000}" name="Tabla8" displayName="Tabla8" ref="I67:O75" totalsRowShown="0" headerRowDxfId="108" headerRowBorderDxfId="107" tableBorderDxfId="106" totalsRowBorderDxfId="105">
  <autoFilter ref="I67:O75" xr:uid="{00000000-0009-0000-0100-000008000000}"/>
  <tableColumns count="7">
    <tableColumn id="1" xr3:uid="{00000000-0010-0000-0400-000001000000}" name="Dominio" dataDxfId="104"/>
    <tableColumn id="2" xr3:uid="{00000000-0010-0000-0400-000002000000}" name="NULO" dataDxfId="103" dataCellStyle="Porcentaje">
      <calculatedColumnFormula>IF(+Tabla_Consulta_desde_Graficas_Anexo2[[#This Row],[NULO]]/Tabla_Consulta_desde_Graficas_Anexo2[[#This Row],[TOTAL]] = 0,,+Tabla_Consulta_desde_Graficas_Anexo2[[#This Row],[NULO]]/Tabla_Consulta_desde_Graficas_Anexo2[[#This Row],[TOTAL]])</calculatedColumnFormula>
    </tableColumn>
    <tableColumn id="3" xr3:uid="{00000000-0010-0000-0400-000003000000}" name="BAJO" dataDxfId="102" dataCellStyle="Porcentaje">
      <calculatedColumnFormula>IF(+Tabla_Consulta_desde_Graficas_Anexo2[[#This Row],[BAJO]]/Tabla_Consulta_desde_Graficas_Anexo2[[#This Row],[TOTAL]]=0,,+Tabla_Consulta_desde_Graficas_Anexo2[[#This Row],[BAJO]]/Tabla_Consulta_desde_Graficas_Anexo2[[#This Row],[TOTAL]])</calculatedColumnFormula>
    </tableColumn>
    <tableColumn id="4" xr3:uid="{00000000-0010-0000-0400-000004000000}" name="MEDIO" dataDxfId="101" dataCellStyle="Porcentaje">
      <calculatedColumnFormula>IF(+Tabla_Consulta_desde_Graficas_Anexo2[[#This Row],[MEDIO]]/Tabla_Consulta_desde_Graficas_Anexo2[[#This Row],[TOTAL]] = 0,,+Tabla_Consulta_desde_Graficas_Anexo2[[#This Row],[MEDIO]]/Tabla_Consulta_desde_Graficas_Anexo2[[#This Row],[TOTAL]])</calculatedColumnFormula>
    </tableColumn>
    <tableColumn id="5" xr3:uid="{00000000-0010-0000-0400-000005000000}" name="ALTO" dataDxfId="100" dataCellStyle="Porcentaje">
      <calculatedColumnFormula>IF(+Tabla_Consulta_desde_Graficas_Anexo2[[#This Row],[ALTO]]/Tabla_Consulta_desde_Graficas_Anexo2[[#This Row],[TOTAL]]=0,,+Tabla_Consulta_desde_Graficas_Anexo2[[#This Row],[ALTO]]/Tabla_Consulta_desde_Graficas_Anexo2[[#This Row],[TOTAL]])</calculatedColumnFormula>
    </tableColumn>
    <tableColumn id="6" xr3:uid="{00000000-0010-0000-0400-000006000000}" name="MUY ALTO" dataDxfId="99" dataCellStyle="Porcentaje">
      <calculatedColumnFormula>IF(+Tabla_Consulta_desde_Graficas_Anexo2[[#This Row],[MUY ALTO]]/Tabla_Consulta_desde_Graficas_Anexo2[[#This Row],[TOTAL]]=0,,+Tabla_Consulta_desde_Graficas_Anexo2[[#This Row],[MUY ALTO]]/Tabla_Consulta_desde_Graficas_Anexo2[[#This Row],[TOTAL]])</calculatedColumnFormula>
    </tableColumn>
    <tableColumn id="7" xr3:uid="{00000000-0010-0000-0400-000007000000}" name="TOTAL" dataDxfId="98" dataCellStyle="Porcentaje">
      <calculatedColumnFormula>+Tabla_Consulta_desde_Graficas_Anexo2[[#This Row],[TOTAL]]/Tabla_Consulta_desde_Graficas_Anexo2[[#This Row],[TOTAL]]</calculatedColumnFormula>
    </tableColumn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5000000}" name="Tabla_Consulta_desde_CategoriaGuiaII12" displayName="Tabla_Consulta_desde_CategoriaGuiaII12" ref="I115:O119" tableType="queryTable" totalsRowShown="0">
  <autoFilter ref="I115:O119" xr:uid="{00000000-0009-0000-0100-00000B000000}"/>
  <tableColumns count="7">
    <tableColumn id="1" xr3:uid="{00000000-0010-0000-0500-000001000000}" uniqueName="1" name="Categoria" queryTableFieldId="1"/>
    <tableColumn id="2" xr3:uid="{00000000-0010-0000-0500-000002000000}" uniqueName="2" name="NULO" queryTableFieldId="2" dataDxfId="97" dataCellStyle="Porcentaje"/>
    <tableColumn id="3" xr3:uid="{00000000-0010-0000-0500-000003000000}" uniqueName="3" name="BAJO" queryTableFieldId="3" dataDxfId="96" dataCellStyle="Porcentaje"/>
    <tableColumn id="4" xr3:uid="{00000000-0010-0000-0500-000004000000}" uniqueName="4" name="MEDIO" queryTableFieldId="4" dataDxfId="95" dataCellStyle="Porcentaje"/>
    <tableColumn id="5" xr3:uid="{00000000-0010-0000-0500-000005000000}" uniqueName="5" name="ALTO" queryTableFieldId="5" dataDxfId="94" dataCellStyle="Porcentaje"/>
    <tableColumn id="6" xr3:uid="{00000000-0010-0000-0500-000006000000}" uniqueName="6" name="MUY ALTO" queryTableFieldId="6" dataDxfId="93" dataCellStyle="Porcentaje"/>
    <tableColumn id="7" xr3:uid="{00000000-0010-0000-0500-000007000000}" uniqueName="7" name="TOTAL" queryTableFieldId="7" dataDxfId="92" dataCellStyle="Porcentaje">
      <calculatedColumnFormula>+Tabla_Consulta_desde_CategoriaGuiaII[[#This Row],[Total]]/Tabla_Consulta_desde_CategoriaGuiaII[[#This Row],[Total]]</calculatedColumnFormula>
    </tableColumn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6000000}" name="Tabla_Consulta_desde_Graficas_Anexo2" displayName="Tabla_Consulta_desde_Graficas_Anexo2" ref="A67:G75" tableType="queryTable" totalsRowShown="0">
  <autoFilter ref="A67:G75" xr:uid="{00000000-0009-0000-0100-00000F000000}"/>
  <tableColumns count="7">
    <tableColumn id="1" xr3:uid="{00000000-0010-0000-0600-000001000000}" uniqueName="1" name="Dominio" queryTableFieldId="1"/>
    <tableColumn id="2" xr3:uid="{00000000-0010-0000-0600-000002000000}" uniqueName="2" name="NULO" queryTableFieldId="2"/>
    <tableColumn id="3" xr3:uid="{00000000-0010-0000-0600-000003000000}" uniqueName="3" name="BAJO" queryTableFieldId="3"/>
    <tableColumn id="4" xr3:uid="{00000000-0010-0000-0600-000004000000}" uniqueName="4" name="MEDIO" queryTableFieldId="4"/>
    <tableColumn id="5" xr3:uid="{00000000-0010-0000-0600-000005000000}" uniqueName="5" name="ALTO" queryTableFieldId="5"/>
    <tableColumn id="6" xr3:uid="{00000000-0010-0000-0600-000006000000}" uniqueName="6" name="MUY ALTO" queryTableFieldId="6"/>
    <tableColumn id="7" xr3:uid="{00000000-0010-0000-0600-000007000000}" uniqueName="7" name="TOTAL" queryTableFieldId="7">
      <calculatedColumnFormula>SUM(Tabla_Consulta_desde_Graficas_Anexo2[[#This Row],[NULO]:[MUY ALTO]])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Tabla_Consulta_desde_CategoriaGuiaII" displayName="Tabla_Consulta_desde_CategoriaGuiaII" ref="A115:G119" tableType="queryTable" totalsRowShown="0">
  <autoFilter ref="A115:G119" xr:uid="{00000000-0009-0000-0100-000001000000}"/>
  <tableColumns count="7">
    <tableColumn id="1" xr3:uid="{00000000-0010-0000-0700-000001000000}" uniqueName="1" name="Categoria" queryTableFieldId="1"/>
    <tableColumn id="2" xr3:uid="{00000000-0010-0000-0700-000002000000}" uniqueName="2" name="NULO" queryTableFieldId="2"/>
    <tableColumn id="3" xr3:uid="{00000000-0010-0000-0700-000003000000}" uniqueName="3" name="BAJO" queryTableFieldId="3"/>
    <tableColumn id="4" xr3:uid="{00000000-0010-0000-0700-000004000000}" uniqueName="4" name="MEDIO" queryTableFieldId="4"/>
    <tableColumn id="5" xr3:uid="{00000000-0010-0000-0700-000005000000}" uniqueName="5" name="ALTO" queryTableFieldId="5"/>
    <tableColumn id="6" xr3:uid="{00000000-0010-0000-0700-000006000000}" uniqueName="6" name="MUY ALTO" queryTableFieldId="6"/>
    <tableColumn id="7" xr3:uid="{00000000-0010-0000-0700-000007000000}" uniqueName="7" name="Total" queryTableFieldId="7">
      <calculatedColumnFormula>SUM(Tabla_Consulta_desde_CategoriaGuiaII[[#This Row],[NULO]:[MUY ALTO]])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8000000}" name="Tabla_Consulta_desde_CuestionarioGUIAII_1" displayName="Tabla_Consulta_desde_CuestionarioGUIAII_1" ref="A142:G143" tableType="queryTable" totalsRowShown="0">
  <autoFilter ref="A142:G143" xr:uid="{00000000-0009-0000-0100-000002000000}"/>
  <tableColumns count="7">
    <tableColumn id="1" xr3:uid="{00000000-0010-0000-0800-000001000000}" uniqueName="1" name="Cuestionario" queryTableFieldId="1"/>
    <tableColumn id="2" xr3:uid="{00000000-0010-0000-0800-000002000000}" uniqueName="2" name="NULO" queryTableFieldId="2"/>
    <tableColumn id="3" xr3:uid="{00000000-0010-0000-0800-000003000000}" uniqueName="3" name="BAJO" queryTableFieldId="3"/>
    <tableColumn id="4" xr3:uid="{00000000-0010-0000-0800-000004000000}" uniqueName="4" name="MEDIO" queryTableFieldId="4"/>
    <tableColumn id="5" xr3:uid="{00000000-0010-0000-0800-000005000000}" uniqueName="5" name="ALTO" queryTableFieldId="5"/>
    <tableColumn id="6" xr3:uid="{00000000-0010-0000-0800-000006000000}" uniqueName="6" name="MUY ALTO" queryTableFieldId="6"/>
    <tableColumn id="7" xr3:uid="{00000000-0010-0000-0800-000007000000}" uniqueName="7" name="TOTAL" queryTableFieldId="7">
      <calculatedColumnFormula>SUM(Tabla_Consulta_desde_CuestionarioGUIAII_1[[NULO]:[MUY ALTO]])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0767C5F-9980-4A03-989A-47BE938F453F}" name="Tabla_Consulta_desde_Matriz_Homogenea_GUIA_III" displayName="Tabla_Consulta_desde_Matriz_Homogenea_GUIA_III" ref="A4:O13" tableType="queryTable" totalsRowShown="0">
  <autoFilter ref="A4:O13" xr:uid="{70767C5F-9980-4A03-989A-47BE938F453F}"/>
  <tableColumns count="15">
    <tableColumn id="6" xr3:uid="{3CCF1807-4C9C-4B76-9DFE-EDCA8D6A1C4B}" uniqueName="6" name="No" queryTableFieldId="6"/>
    <tableColumn id="7" xr3:uid="{35528F72-C277-40BA-8799-221C17D6019C}" uniqueName="7" name="Nombre" queryTableFieldId="7"/>
    <tableColumn id="8" xr3:uid="{BC5D0FDE-EE4F-4A6C-88B9-5B1C993B0124}" uniqueName="8" name="Puesto Categoría" queryTableFieldId="8"/>
    <tableColumn id="9" xr3:uid="{A7E3E15C-C4F2-4DC0-BDB1-42A08AB7D43A}" uniqueName="9" name="Acontecimientos traumáticos severos" queryTableFieldId="9"/>
    <tableColumn id="10" xr3:uid="{DE5BF350-73B0-4520-BF59-548E651485A7}" uniqueName="10" name="Condiciones en el ambiente de trabajo" queryTableFieldId="10" dataDxfId="10"/>
    <tableColumn id="11" xr3:uid="{BBFB99A1-C72F-48E8-B789-9F8E13FAADB4}" uniqueName="11" name="Carga de trabajo" queryTableFieldId="11" dataDxfId="9"/>
    <tableColumn id="12" xr3:uid="{F0054304-BD50-476A-BE75-DBD0CDFA3DB5}" uniqueName="12" name="Falta de control sobre el trabajo" queryTableFieldId="12" dataDxfId="8"/>
    <tableColumn id="13" xr3:uid="{7E0F7198-ADC3-4D23-9536-1A44AEA3F31C}" uniqueName="13" name="Jornada de trabajo" queryTableFieldId="13" dataDxfId="7"/>
    <tableColumn id="14" xr3:uid="{4F572C9C-ED98-43A5-8578-243AB07428AD}" uniqueName="14" name="Interferencia en la relación trabajo-familia" queryTableFieldId="14" dataDxfId="6"/>
    <tableColumn id="15" xr3:uid="{98E67ABE-8D92-4184-8759-19BF63CCFF6C}" uniqueName="15" name="Liderazgo" queryTableFieldId="15" dataDxfId="5"/>
    <tableColumn id="16" xr3:uid="{952FF29D-2537-45AF-BE9C-3B958C4E76CB}" uniqueName="16" name="Relaciones en el trabajo" queryTableFieldId="16" dataDxfId="4"/>
    <tableColumn id="17" xr3:uid="{726B9A4F-10BE-4650-9C15-B44F454D7DC0}" uniqueName="17" name="Violencia" queryTableFieldId="17" dataDxfId="3"/>
    <tableColumn id="18" xr3:uid="{0CA6EFBB-F671-4144-B120-6CA67D731A88}" uniqueName="18" name="Reconocimiento del desempeño" queryTableFieldId="18" dataDxfId="2"/>
    <tableColumn id="19" xr3:uid="{53A527EE-E67B-4CF4-94BF-06D286C10A65}" uniqueName="19" name="Insuficiente sentido de_x000d__x000a_pertenencia e inestabilidad" queryTableFieldId="19" dataDxfId="1"/>
    <tableColumn id="20" xr3:uid="{19C36FF2-EC3A-4BD3-AE2D-82F7706282B8}" uniqueName="20" name="CALIFICACIÓN FINAL" queryTableFieldId="20" dataDxfId="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79A20F-7580-4217-A352-1E8F803FEB04}" name="Tabla_Consulta_desde_Dominios_GUIAIII" displayName="Tabla_Consulta_desde_Dominios_GUIAIII" ref="A108:G109" tableType="queryTable" insertRow="1" totalsRowShown="0">
  <autoFilter ref="A108:G109" xr:uid="{4879A20F-7580-4217-A352-1E8F803FEB04}"/>
  <tableColumns count="7">
    <tableColumn id="1" xr3:uid="{DC2BC20D-1283-4EFF-B67D-F3F2983160F2}" uniqueName="1" name="Dominio" queryTableFieldId="1"/>
    <tableColumn id="2" xr3:uid="{C8CC6D46-7D35-4A02-B9A8-C605C415A880}" uniqueName="2" name="NULO" queryTableFieldId="2"/>
    <tableColumn id="3" xr3:uid="{A0247E1F-AE57-4397-869C-3D75EF170A6C}" uniqueName="3" name="BAJO" queryTableFieldId="3"/>
    <tableColumn id="4" xr3:uid="{BB9FBFCE-234B-4A4F-AFFD-396FCA917CD2}" uniqueName="4" name="MEDIO" queryTableFieldId="4"/>
    <tableColumn id="5" xr3:uid="{C2426A5F-9895-4FE3-9275-E5525F08C633}" uniqueName="5" name="ALTO" queryTableFieldId="5"/>
    <tableColumn id="6" xr3:uid="{F435914C-4E80-4D8D-88C5-DD68C1D41300}" uniqueName="6" name="MUY ALTO" queryTableFieldId="6"/>
    <tableColumn id="7" xr3:uid="{3CEDBE87-55B0-4DD4-9225-8320FCD8F896}" uniqueName="7" name="TOTAL" queryTableFieldId="7">
      <calculatedColumnFormula>SUM(Tabla_Consulta_desde_Dominios_GUIAIII[[#This Row],[NULO]:[MUY ALTO]])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0A355F9-E08E-463E-8223-4D9BF4E5CAE1}" name="Tabla_Consulta_desde_Categorias_GUIAIII" displayName="Tabla_Consulta_desde_Categorias_GUIAIII" ref="A164:G165" tableType="queryTable" insertRow="1" totalsRowShown="0">
  <autoFilter ref="A164:G165" xr:uid="{B0A355F9-E08E-463E-8223-4D9BF4E5CAE1}"/>
  <tableColumns count="7">
    <tableColumn id="1" xr3:uid="{C47F7354-AC6B-494B-9BCA-49152F264F8D}" uniqueName="1" name="Categoria" queryTableFieldId="1"/>
    <tableColumn id="2" xr3:uid="{CF201155-1B54-414E-9705-38699F26CCE4}" uniqueName="2" name="NULO" queryTableFieldId="2"/>
    <tableColumn id="3" xr3:uid="{930016BE-9849-43A0-869B-E3774CBE99C4}" uniqueName="3" name="BAJO" queryTableFieldId="3"/>
    <tableColumn id="4" xr3:uid="{86080D09-C196-473B-878F-835DD1770281}" uniqueName="4" name="MEDIO" queryTableFieldId="4"/>
    <tableColumn id="5" xr3:uid="{14BE1C74-66CA-42C3-830E-EFF4A57196CD}" uniqueName="5" name="ALTO" queryTableFieldId="5"/>
    <tableColumn id="6" xr3:uid="{27E0D642-69DD-4497-BC61-94C823798736}" uniqueName="6" name="MUY ALTO" queryTableFieldId="6"/>
    <tableColumn id="7" xr3:uid="{F2D1A22F-3D1B-4DEA-8059-8FDDEDE11EDB}" uniqueName="7" name="TOTAL" queryTableFieldId="7">
      <calculatedColumnFormula>SUM(Tabla_Consulta_desde_Categorias_GUIAIII[[#This Row],[NULO]:[MUY ALTO]])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2E61FDA-1C87-4D89-ADD2-E1A60B708FE0}" name="Tabla_Consulta_desde_Cuestionario_GUIAIII" displayName="Tabla_Consulta_desde_Cuestionario_GUIAIII" ref="A188:G189" tableType="queryTable" insertRow="1" totalsRowShown="0">
  <autoFilter ref="A188:G189" xr:uid="{92E61FDA-1C87-4D89-ADD2-E1A60B708FE0}"/>
  <tableColumns count="7">
    <tableColumn id="1" xr3:uid="{D2601C08-5994-4073-B4CE-E2608CE60761}" uniqueName="1" name="Cuestionario" queryTableFieldId="1"/>
    <tableColumn id="2" xr3:uid="{0CF83282-3D1E-4111-BE9A-D489AC6A15EF}" uniqueName="2" name="NULO" queryTableFieldId="2"/>
    <tableColumn id="3" xr3:uid="{32CCD9D7-42DB-40C2-8016-E959990F00DF}" uniqueName="3" name="BAJO" queryTableFieldId="3"/>
    <tableColumn id="4" xr3:uid="{CB603D3A-4365-4C57-AA1E-E86BD66AF095}" uniqueName="4" name="MEDIO" queryTableFieldId="4"/>
    <tableColumn id="5" xr3:uid="{3F57D919-FAE2-4CF4-BFFD-F1ADD9B2FB6E}" uniqueName="5" name="ALTO" queryTableFieldId="5"/>
    <tableColumn id="6" xr3:uid="{86CB6788-1021-4384-9E11-B0130B3A811F}" uniqueName="6" name="MUY ALTO" queryTableFieldId="6"/>
    <tableColumn id="7" xr3:uid="{AA80B7F2-E241-4C73-918B-5D2918AB8642}" uniqueName="7" name="TOTAL" queryTableFieldId="7">
      <calculatedColumnFormula>SUM(Tabla_Consulta_desde_Cuestionario_GUIAIII[[#This Row],[NULO]:[MUY ALTO]])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4:E36"/>
  <sheetViews>
    <sheetView workbookViewId="0">
      <selection activeCell="D4" sqref="D4"/>
    </sheetView>
  </sheetViews>
  <sheetFormatPr baseColWidth="10" defaultRowHeight="14.5" x14ac:dyDescent="0.35"/>
  <cols>
    <col min="1" max="1" width="28.36328125" bestFit="1" customWidth="1"/>
    <col min="2" max="2" width="31.453125" bestFit="1" customWidth="1"/>
    <col min="3" max="3" width="32.81640625" customWidth="1"/>
    <col min="4" max="4" width="80.08984375" bestFit="1" customWidth="1"/>
    <col min="5" max="5" width="3.6328125" bestFit="1" customWidth="1"/>
  </cols>
  <sheetData>
    <row r="4" spans="1:5" x14ac:dyDescent="0.35">
      <c r="A4" t="s">
        <v>2</v>
      </c>
      <c r="B4" t="s">
        <v>3</v>
      </c>
      <c r="D4" t="s">
        <v>4</v>
      </c>
      <c r="E4" t="s">
        <v>5</v>
      </c>
    </row>
    <row r="5" spans="1:5" x14ac:dyDescent="0.35">
      <c r="B5">
        <v>9</v>
      </c>
      <c r="D5" t="s">
        <v>109</v>
      </c>
      <c r="E5">
        <v>9</v>
      </c>
    </row>
    <row r="6" spans="1:5" x14ac:dyDescent="0.35">
      <c r="D6" t="s">
        <v>31</v>
      </c>
      <c r="E6">
        <v>10</v>
      </c>
    </row>
    <row r="7" spans="1:5" x14ac:dyDescent="0.35">
      <c r="D7" t="s">
        <v>32</v>
      </c>
      <c r="E7">
        <v>11</v>
      </c>
    </row>
    <row r="8" spans="1:5" x14ac:dyDescent="0.35">
      <c r="D8" t="s">
        <v>63</v>
      </c>
      <c r="E8">
        <v>17</v>
      </c>
    </row>
    <row r="9" spans="1:5" x14ac:dyDescent="0.35">
      <c r="D9" t="s">
        <v>74</v>
      </c>
      <c r="E9">
        <v>18</v>
      </c>
    </row>
    <row r="10" spans="1:5" x14ac:dyDescent="0.35">
      <c r="D10" t="s">
        <v>75</v>
      </c>
      <c r="E10">
        <v>19</v>
      </c>
    </row>
    <row r="11" spans="1:5" x14ac:dyDescent="0.35">
      <c r="D11" t="s">
        <v>76</v>
      </c>
      <c r="E11">
        <v>20</v>
      </c>
    </row>
    <row r="12" spans="1:5" x14ac:dyDescent="0.35">
      <c r="D12" t="s">
        <v>77</v>
      </c>
      <c r="E12">
        <v>21</v>
      </c>
    </row>
    <row r="13" spans="1:5" x14ac:dyDescent="0.35">
      <c r="D13" t="s">
        <v>89</v>
      </c>
      <c r="E13">
        <v>22</v>
      </c>
    </row>
    <row r="14" spans="1:5" x14ac:dyDescent="0.35">
      <c r="D14" t="s">
        <v>101</v>
      </c>
      <c r="E14">
        <v>24</v>
      </c>
    </row>
    <row r="15" spans="1:5" x14ac:dyDescent="0.35">
      <c r="D15" t="s">
        <v>102</v>
      </c>
      <c r="E15">
        <v>25</v>
      </c>
    </row>
    <row r="16" spans="1:5" x14ac:dyDescent="0.35">
      <c r="D16" t="s">
        <v>103</v>
      </c>
      <c r="E16">
        <v>26</v>
      </c>
    </row>
    <row r="17" spans="4:5" x14ac:dyDescent="0.35">
      <c r="D17" t="s">
        <v>104</v>
      </c>
      <c r="E17">
        <v>27</v>
      </c>
    </row>
    <row r="18" spans="4:5" x14ac:dyDescent="0.35">
      <c r="D18" t="s">
        <v>110</v>
      </c>
      <c r="E18">
        <v>28</v>
      </c>
    </row>
    <row r="19" spans="4:5" x14ac:dyDescent="0.35">
      <c r="D19" t="s">
        <v>111</v>
      </c>
      <c r="E19">
        <v>29</v>
      </c>
    </row>
    <row r="20" spans="4:5" x14ac:dyDescent="0.35">
      <c r="D20" t="s">
        <v>112</v>
      </c>
      <c r="E20">
        <v>30</v>
      </c>
    </row>
    <row r="21" spans="4:5" x14ac:dyDescent="0.35">
      <c r="D21" t="s">
        <v>101</v>
      </c>
      <c r="E21">
        <v>31</v>
      </c>
    </row>
    <row r="22" spans="4:5" x14ac:dyDescent="0.35">
      <c r="D22" t="s">
        <v>113</v>
      </c>
      <c r="E22">
        <v>32</v>
      </c>
    </row>
    <row r="23" spans="4:5" x14ac:dyDescent="0.35">
      <c r="D23" t="s">
        <v>114</v>
      </c>
      <c r="E23">
        <v>33</v>
      </c>
    </row>
    <row r="24" spans="4:5" x14ac:dyDescent="0.35">
      <c r="D24" t="s">
        <v>115</v>
      </c>
      <c r="E24">
        <v>34</v>
      </c>
    </row>
    <row r="25" spans="4:5" x14ac:dyDescent="0.35">
      <c r="D25" t="s">
        <v>116</v>
      </c>
      <c r="E25">
        <v>35</v>
      </c>
    </row>
    <row r="26" spans="4:5" x14ac:dyDescent="0.35">
      <c r="D26" t="s">
        <v>117</v>
      </c>
      <c r="E26">
        <v>36</v>
      </c>
    </row>
    <row r="27" spans="4:5" x14ac:dyDescent="0.35">
      <c r="D27" t="s">
        <v>118</v>
      </c>
      <c r="E27">
        <v>37</v>
      </c>
    </row>
    <row r="28" spans="4:5" x14ac:dyDescent="0.35">
      <c r="D28" t="s">
        <v>119</v>
      </c>
      <c r="E28">
        <v>38</v>
      </c>
    </row>
    <row r="29" spans="4:5" x14ac:dyDescent="0.35">
      <c r="D29" t="s">
        <v>110</v>
      </c>
      <c r="E29">
        <v>39</v>
      </c>
    </row>
    <row r="30" spans="4:5" x14ac:dyDescent="0.35">
      <c r="D30" t="s">
        <v>120</v>
      </c>
      <c r="E30">
        <v>40</v>
      </c>
    </row>
    <row r="31" spans="4:5" x14ac:dyDescent="0.35">
      <c r="D31" t="s">
        <v>121</v>
      </c>
      <c r="E31">
        <v>41</v>
      </c>
    </row>
    <row r="32" spans="4:5" x14ac:dyDescent="0.35">
      <c r="D32" t="s">
        <v>122</v>
      </c>
      <c r="E32">
        <v>42</v>
      </c>
    </row>
    <row r="33" spans="4:5" x14ac:dyDescent="0.35">
      <c r="D33" t="s">
        <v>123</v>
      </c>
      <c r="E33">
        <v>43</v>
      </c>
    </row>
    <row r="34" spans="4:5" x14ac:dyDescent="0.35">
      <c r="D34" t="s">
        <v>124</v>
      </c>
      <c r="E34">
        <v>44</v>
      </c>
    </row>
    <row r="35" spans="4:5" x14ac:dyDescent="0.35">
      <c r="D35" t="s">
        <v>125</v>
      </c>
      <c r="E35">
        <v>45</v>
      </c>
    </row>
    <row r="36" spans="4:5" x14ac:dyDescent="0.35">
      <c r="D36" t="s">
        <v>126</v>
      </c>
      <c r="E36">
        <v>46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2:P102"/>
  <sheetViews>
    <sheetView tabSelected="1" zoomScale="73" zoomScaleNormal="73" workbookViewId="0">
      <selection activeCell="A3" sqref="A3"/>
    </sheetView>
  </sheetViews>
  <sheetFormatPr baseColWidth="10" defaultRowHeight="14.5" x14ac:dyDescent="0.35"/>
  <cols>
    <col min="1" max="1" width="32.7265625" customWidth="1"/>
    <col min="2" max="2" width="11.26953125" style="18" bestFit="1" customWidth="1"/>
    <col min="3" max="3" width="35.26953125" style="18" bestFit="1" customWidth="1"/>
    <col min="4" max="4" width="2.36328125" style="18" bestFit="1" customWidth="1"/>
    <col min="5" max="5" width="6.6328125" style="18" bestFit="1" customWidth="1"/>
    <col min="6" max="6" width="10.90625" style="18" bestFit="1" customWidth="1"/>
    <col min="7" max="7" width="24.36328125" style="18" bestFit="1" customWidth="1"/>
    <col min="8" max="8" width="31.08984375" style="18" bestFit="1" customWidth="1"/>
    <col min="9" max="9" width="7.1796875" style="18" bestFit="1" customWidth="1"/>
    <col min="10" max="10" width="8" style="18" bestFit="1" customWidth="1"/>
    <col min="11" max="11" width="4.08984375" style="18" bestFit="1" customWidth="1"/>
    <col min="12" max="12" width="36.6328125" style="18" bestFit="1" customWidth="1"/>
    <col min="13" max="13" width="13.90625" style="18" bestFit="1" customWidth="1"/>
    <col min="14" max="14" width="10.08984375" style="18" bestFit="1" customWidth="1"/>
    <col min="15" max="15" width="6.81640625" style="18" bestFit="1" customWidth="1"/>
    <col min="16" max="16" width="10.36328125" style="18" bestFit="1" customWidth="1"/>
    <col min="17" max="17" width="13.81640625" customWidth="1"/>
  </cols>
  <sheetData>
    <row r="2" spans="1:16" ht="15.75" customHeight="1" x14ac:dyDescent="0.35">
      <c r="A2" s="45" t="s">
        <v>40</v>
      </c>
      <c r="B2" s="45"/>
    </row>
    <row r="3" spans="1:16" x14ac:dyDescent="0.35">
      <c r="A3" t="s">
        <v>126</v>
      </c>
      <c r="B3">
        <f>IF(VLOOKUP(A3,Datos!D:E,2,FALSE) = " ",0,VLOOKUP(A3,Datos!D:E,2,FALSE) )</f>
        <v>46</v>
      </c>
      <c r="C3"/>
      <c r="D3"/>
      <c r="E3"/>
      <c r="F3"/>
      <c r="G3"/>
      <c r="H3"/>
      <c r="I3"/>
      <c r="J3"/>
      <c r="K3"/>
      <c r="L3"/>
      <c r="M3"/>
      <c r="N3"/>
      <c r="O3"/>
      <c r="P3"/>
    </row>
    <row r="4" spans="1:16" x14ac:dyDescent="0.35">
      <c r="B4"/>
      <c r="C4"/>
      <c r="D4"/>
      <c r="E4"/>
      <c r="F4"/>
      <c r="G4"/>
      <c r="H4"/>
      <c r="I4"/>
      <c r="J4"/>
      <c r="K4"/>
      <c r="L4"/>
      <c r="M4"/>
      <c r="N4"/>
      <c r="O4"/>
      <c r="P4"/>
    </row>
    <row r="5" spans="1:16" ht="32.25" customHeight="1" x14ac:dyDescent="0.35">
      <c r="A5" s="26" t="s">
        <v>52</v>
      </c>
      <c r="B5" s="47" t="s">
        <v>53</v>
      </c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</row>
    <row r="6" spans="1:16" ht="36" customHeight="1" x14ac:dyDescent="0.35">
      <c r="A6" s="27" t="s">
        <v>51</v>
      </c>
      <c r="B6" s="46" t="s">
        <v>50</v>
      </c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</row>
    <row r="7" spans="1:16" s="25" customFormat="1" ht="37.5" customHeight="1" x14ac:dyDescent="0.35">
      <c r="A7" s="23" t="s">
        <v>54</v>
      </c>
      <c r="B7" s="23" t="s">
        <v>45</v>
      </c>
      <c r="C7" s="23" t="s">
        <v>38</v>
      </c>
      <c r="D7" s="23" t="s">
        <v>6</v>
      </c>
      <c r="E7" s="23" t="s">
        <v>7</v>
      </c>
      <c r="F7" s="23" t="s">
        <v>44</v>
      </c>
      <c r="G7" s="23" t="s">
        <v>43</v>
      </c>
      <c r="H7" s="23" t="s">
        <v>55</v>
      </c>
      <c r="I7" s="23" t="s">
        <v>41</v>
      </c>
      <c r="J7" s="23" t="s">
        <v>42</v>
      </c>
      <c r="K7" s="23" t="s">
        <v>8</v>
      </c>
      <c r="L7" s="23" t="s">
        <v>46</v>
      </c>
      <c r="M7" s="23" t="s">
        <v>56</v>
      </c>
      <c r="N7" s="23" t="s">
        <v>47</v>
      </c>
      <c r="O7" s="23" t="s">
        <v>48</v>
      </c>
      <c r="P7" s="23" t="s">
        <v>49</v>
      </c>
    </row>
    <row r="8" spans="1:16" s="19" customFormat="1" ht="13" x14ac:dyDescent="0.3">
      <c r="A8" s="20"/>
      <c r="B8" s="21">
        <v>46169</v>
      </c>
      <c r="C8" s="22" t="s">
        <v>127</v>
      </c>
      <c r="D8" s="22" t="s">
        <v>9</v>
      </c>
      <c r="E8" s="22" t="s">
        <v>93</v>
      </c>
      <c r="F8" s="22" t="s">
        <v>87</v>
      </c>
      <c r="G8" s="22" t="s">
        <v>83</v>
      </c>
      <c r="H8" s="22" t="s">
        <v>39</v>
      </c>
      <c r="I8" s="24" t="s">
        <v>88</v>
      </c>
      <c r="J8" s="24" t="s">
        <v>100</v>
      </c>
      <c r="K8" s="24" t="s">
        <v>0</v>
      </c>
      <c r="L8" s="22" t="s">
        <v>128</v>
      </c>
      <c r="M8" s="22" t="s">
        <v>129</v>
      </c>
      <c r="N8" s="22" t="s">
        <v>84</v>
      </c>
      <c r="O8" s="22" t="s">
        <v>81</v>
      </c>
      <c r="P8" s="22" t="s">
        <v>86</v>
      </c>
    </row>
    <row r="9" spans="1:16" s="19" customFormat="1" ht="13" x14ac:dyDescent="0.3">
      <c r="A9" s="20"/>
      <c r="B9" s="21">
        <v>46169</v>
      </c>
      <c r="C9" s="22" t="s">
        <v>130</v>
      </c>
      <c r="D9" s="22" t="s">
        <v>9</v>
      </c>
      <c r="E9" s="22" t="s">
        <v>82</v>
      </c>
      <c r="F9" s="22" t="s">
        <v>87</v>
      </c>
      <c r="G9" s="22" t="s">
        <v>79</v>
      </c>
      <c r="H9" s="22" t="s">
        <v>39</v>
      </c>
      <c r="I9" s="24" t="s">
        <v>88</v>
      </c>
      <c r="J9" s="24" t="s">
        <v>99</v>
      </c>
      <c r="K9" s="24" t="s">
        <v>58</v>
      </c>
      <c r="L9" s="22" t="s">
        <v>131</v>
      </c>
      <c r="M9" s="22" t="s">
        <v>132</v>
      </c>
      <c r="N9" s="22" t="s">
        <v>84</v>
      </c>
      <c r="O9" s="22" t="s">
        <v>85</v>
      </c>
      <c r="P9" s="22" t="s">
        <v>86</v>
      </c>
    </row>
    <row r="10" spans="1:16" x14ac:dyDescent="0.35">
      <c r="A10" s="20"/>
      <c r="B10" s="21">
        <v>46169</v>
      </c>
      <c r="C10" s="22" t="s">
        <v>133</v>
      </c>
      <c r="D10" s="22" t="s">
        <v>9</v>
      </c>
      <c r="E10" s="22" t="s">
        <v>59</v>
      </c>
      <c r="F10" s="22" t="s">
        <v>66</v>
      </c>
      <c r="G10" s="22" t="s">
        <v>79</v>
      </c>
      <c r="H10" s="22" t="s">
        <v>106</v>
      </c>
      <c r="I10" s="24" t="s">
        <v>96</v>
      </c>
      <c r="J10" s="24" t="s">
        <v>96</v>
      </c>
      <c r="K10" s="24" t="s">
        <v>0</v>
      </c>
      <c r="L10" s="22" t="s">
        <v>134</v>
      </c>
      <c r="M10" s="22" t="s">
        <v>129</v>
      </c>
      <c r="N10" s="22" t="s">
        <v>84</v>
      </c>
      <c r="O10" s="22" t="s">
        <v>81</v>
      </c>
      <c r="P10" s="22" t="s">
        <v>86</v>
      </c>
    </row>
    <row r="11" spans="1:16" x14ac:dyDescent="0.35">
      <c r="A11" s="20"/>
      <c r="B11" s="21">
        <v>46169</v>
      </c>
      <c r="C11" s="22" t="s">
        <v>135</v>
      </c>
      <c r="D11" s="22" t="s">
        <v>9</v>
      </c>
      <c r="E11" s="22" t="s">
        <v>82</v>
      </c>
      <c r="F11" s="22" t="s">
        <v>87</v>
      </c>
      <c r="G11" s="22" t="s">
        <v>83</v>
      </c>
      <c r="H11" s="22" t="s">
        <v>39</v>
      </c>
      <c r="I11" s="24" t="s">
        <v>88</v>
      </c>
      <c r="J11" s="24" t="s">
        <v>88</v>
      </c>
      <c r="K11" s="24" t="s">
        <v>0</v>
      </c>
      <c r="L11" s="22" t="s">
        <v>136</v>
      </c>
      <c r="M11" s="22" t="s">
        <v>137</v>
      </c>
      <c r="N11" s="22" t="s">
        <v>84</v>
      </c>
      <c r="O11" s="22" t="s">
        <v>81</v>
      </c>
      <c r="P11" s="22" t="s">
        <v>65</v>
      </c>
    </row>
    <row r="12" spans="1:16" x14ac:dyDescent="0.35">
      <c r="A12" s="20"/>
      <c r="B12" s="21">
        <v>46169</v>
      </c>
      <c r="C12" s="22" t="s">
        <v>138</v>
      </c>
      <c r="D12" s="22" t="s">
        <v>9</v>
      </c>
      <c r="E12" s="22" t="s">
        <v>105</v>
      </c>
      <c r="F12" s="22" t="s">
        <v>87</v>
      </c>
      <c r="G12" s="22" t="s">
        <v>79</v>
      </c>
      <c r="H12" s="22" t="s">
        <v>39</v>
      </c>
      <c r="I12" s="24" t="s">
        <v>64</v>
      </c>
      <c r="J12" s="24" t="s">
        <v>98</v>
      </c>
      <c r="K12" s="24" t="s">
        <v>0</v>
      </c>
      <c r="L12" s="22" t="s">
        <v>139</v>
      </c>
      <c r="M12" s="22" t="s">
        <v>129</v>
      </c>
      <c r="N12" s="22" t="s">
        <v>84</v>
      </c>
      <c r="O12" s="22" t="s">
        <v>81</v>
      </c>
      <c r="P12" s="22" t="s">
        <v>65</v>
      </c>
    </row>
    <row r="13" spans="1:16" x14ac:dyDescent="0.35">
      <c r="A13" s="20"/>
      <c r="B13" s="21">
        <v>46169</v>
      </c>
      <c r="C13" s="22" t="s">
        <v>140</v>
      </c>
      <c r="D13" s="22" t="s">
        <v>9</v>
      </c>
      <c r="E13" s="22" t="s">
        <v>105</v>
      </c>
      <c r="F13" s="22" t="s">
        <v>78</v>
      </c>
      <c r="G13" s="22" t="s">
        <v>79</v>
      </c>
      <c r="H13" s="22" t="s">
        <v>39</v>
      </c>
      <c r="I13" s="24" t="s">
        <v>64</v>
      </c>
      <c r="J13" s="24" t="s">
        <v>88</v>
      </c>
      <c r="K13" s="24" t="s">
        <v>0</v>
      </c>
      <c r="L13" s="22" t="s">
        <v>141</v>
      </c>
      <c r="M13" s="22" t="s">
        <v>137</v>
      </c>
      <c r="N13" s="22" t="s">
        <v>84</v>
      </c>
      <c r="O13" s="22" t="s">
        <v>81</v>
      </c>
      <c r="P13" s="22" t="s">
        <v>86</v>
      </c>
    </row>
    <row r="14" spans="1:16" x14ac:dyDescent="0.35">
      <c r="A14" s="20"/>
      <c r="B14" s="21">
        <v>46169</v>
      </c>
      <c r="C14" s="22" t="s">
        <v>142</v>
      </c>
      <c r="D14" s="22" t="s">
        <v>9</v>
      </c>
      <c r="E14" s="22" t="s">
        <v>97</v>
      </c>
      <c r="F14" s="22" t="s">
        <v>87</v>
      </c>
      <c r="G14" s="22" t="s">
        <v>83</v>
      </c>
      <c r="H14" s="22" t="s">
        <v>39</v>
      </c>
      <c r="I14" s="24" t="s">
        <v>96</v>
      </c>
      <c r="J14" s="24" t="s">
        <v>88</v>
      </c>
      <c r="K14" s="24" t="s">
        <v>58</v>
      </c>
      <c r="L14" s="22" t="s">
        <v>143</v>
      </c>
      <c r="M14" s="22" t="s">
        <v>137</v>
      </c>
      <c r="N14" s="22" t="s">
        <v>84</v>
      </c>
      <c r="O14" s="22" t="s">
        <v>85</v>
      </c>
      <c r="P14" s="22" t="s">
        <v>108</v>
      </c>
    </row>
    <row r="15" spans="1:16" x14ac:dyDescent="0.35">
      <c r="A15" s="20"/>
      <c r="B15" s="21">
        <v>46169</v>
      </c>
      <c r="C15" s="22" t="s">
        <v>144</v>
      </c>
      <c r="D15" s="22" t="s">
        <v>9</v>
      </c>
      <c r="E15" s="22" t="s">
        <v>105</v>
      </c>
      <c r="F15" s="22" t="s">
        <v>87</v>
      </c>
      <c r="G15" s="22" t="s">
        <v>107</v>
      </c>
      <c r="H15" s="22" t="s">
        <v>39</v>
      </c>
      <c r="I15" s="24" t="s">
        <v>64</v>
      </c>
      <c r="J15" s="24" t="s">
        <v>100</v>
      </c>
      <c r="K15" s="24" t="s">
        <v>0</v>
      </c>
      <c r="L15" s="22" t="s">
        <v>145</v>
      </c>
      <c r="M15" s="22" t="s">
        <v>129</v>
      </c>
      <c r="N15" s="22" t="s">
        <v>84</v>
      </c>
      <c r="O15" s="22" t="s">
        <v>81</v>
      </c>
      <c r="P15" s="22" t="s">
        <v>86</v>
      </c>
    </row>
    <row r="16" spans="1:16" x14ac:dyDescent="0.35">
      <c r="A16" s="20"/>
      <c r="B16" s="21">
        <v>46169</v>
      </c>
      <c r="C16" s="22" t="s">
        <v>146</v>
      </c>
      <c r="D16" s="22" t="s">
        <v>9</v>
      </c>
      <c r="E16" s="22" t="s">
        <v>59</v>
      </c>
      <c r="F16" s="22" t="s">
        <v>87</v>
      </c>
      <c r="G16" s="22" t="s">
        <v>79</v>
      </c>
      <c r="H16" s="22" t="s">
        <v>39</v>
      </c>
      <c r="I16" s="24" t="s">
        <v>80</v>
      </c>
      <c r="J16" s="24" t="s">
        <v>80</v>
      </c>
      <c r="K16" s="24" t="s">
        <v>0</v>
      </c>
      <c r="L16" s="22" t="s">
        <v>147</v>
      </c>
      <c r="M16" s="22" t="s">
        <v>129</v>
      </c>
      <c r="N16" s="22" t="s">
        <v>84</v>
      </c>
      <c r="O16" s="22" t="s">
        <v>81</v>
      </c>
      <c r="P16" s="22" t="s">
        <v>65</v>
      </c>
    </row>
    <row r="17" spans="1:16" x14ac:dyDescent="0.35">
      <c r="A17" s="20"/>
      <c r="B17" s="21"/>
      <c r="C17" s="22"/>
      <c r="D17" s="22"/>
      <c r="E17" s="22"/>
      <c r="F17" s="22"/>
      <c r="G17" s="22"/>
      <c r="H17" s="22"/>
      <c r="I17" s="24"/>
      <c r="J17" s="24"/>
      <c r="K17" s="24"/>
      <c r="L17" s="22"/>
      <c r="M17" s="22"/>
      <c r="N17" s="22"/>
      <c r="O17" s="22"/>
      <c r="P17" s="22"/>
    </row>
    <row r="18" spans="1:16" x14ac:dyDescent="0.35">
      <c r="A18" s="20"/>
      <c r="B18" s="21"/>
      <c r="C18" s="22"/>
      <c r="D18" s="22"/>
      <c r="E18" s="22"/>
      <c r="F18" s="22"/>
      <c r="G18" s="22"/>
      <c r="H18" s="22"/>
      <c r="I18" s="24"/>
      <c r="J18" s="24"/>
      <c r="K18" s="24"/>
      <c r="L18" s="22"/>
      <c r="M18" s="22"/>
      <c r="N18" s="22"/>
      <c r="O18" s="22"/>
      <c r="P18" s="22"/>
    </row>
    <row r="19" spans="1:16" x14ac:dyDescent="0.35">
      <c r="A19" s="20"/>
      <c r="B19" s="21"/>
      <c r="C19" s="22"/>
      <c r="D19" s="22"/>
      <c r="E19" s="22"/>
      <c r="F19" s="22"/>
      <c r="G19" s="22"/>
      <c r="H19" s="22"/>
      <c r="I19" s="24"/>
      <c r="J19" s="24"/>
      <c r="K19" s="24"/>
      <c r="L19" s="22"/>
      <c r="M19" s="22"/>
      <c r="N19" s="22"/>
      <c r="O19" s="22"/>
      <c r="P19" s="22"/>
    </row>
    <row r="20" spans="1:16" x14ac:dyDescent="0.35">
      <c r="A20" s="20"/>
      <c r="B20" s="21"/>
      <c r="C20" s="22"/>
      <c r="D20" s="22"/>
      <c r="E20" s="22"/>
      <c r="F20" s="22"/>
      <c r="G20" s="22"/>
      <c r="H20" s="22"/>
      <c r="I20" s="24"/>
      <c r="J20" s="24"/>
      <c r="K20" s="24"/>
      <c r="L20" s="22"/>
      <c r="M20" s="22"/>
      <c r="N20" s="22"/>
      <c r="O20" s="22"/>
      <c r="P20" s="22"/>
    </row>
    <row r="21" spans="1:16" x14ac:dyDescent="0.35">
      <c r="A21" s="20"/>
      <c r="B21" s="21"/>
      <c r="C21" s="22"/>
      <c r="D21" s="22"/>
      <c r="E21" s="22"/>
      <c r="F21" s="22"/>
      <c r="G21" s="22"/>
      <c r="H21" s="22"/>
      <c r="I21" s="24"/>
      <c r="J21" s="24"/>
      <c r="K21" s="24"/>
      <c r="L21" s="22"/>
      <c r="M21" s="22"/>
      <c r="N21" s="22"/>
      <c r="O21" s="22"/>
      <c r="P21" s="22"/>
    </row>
    <row r="22" spans="1:16" x14ac:dyDescent="0.35">
      <c r="A22" s="20"/>
      <c r="B22" s="21"/>
      <c r="C22" s="22"/>
      <c r="D22" s="22"/>
      <c r="E22" s="22"/>
      <c r="F22" s="22"/>
      <c r="G22" s="22"/>
      <c r="H22" s="22"/>
      <c r="I22" s="24"/>
      <c r="J22" s="24"/>
      <c r="K22" s="24"/>
      <c r="L22" s="22"/>
      <c r="M22" s="22"/>
      <c r="N22" s="22"/>
      <c r="O22" s="22"/>
      <c r="P22" s="22"/>
    </row>
    <row r="23" spans="1:16" x14ac:dyDescent="0.35">
      <c r="A23" s="20"/>
      <c r="B23" s="21"/>
      <c r="C23" s="22"/>
      <c r="D23" s="22"/>
      <c r="E23" s="22"/>
      <c r="F23" s="22"/>
      <c r="G23" s="22"/>
      <c r="H23" s="22"/>
      <c r="I23" s="24"/>
      <c r="J23" s="24"/>
      <c r="K23" s="24"/>
      <c r="L23" s="22"/>
      <c r="M23" s="22"/>
      <c r="N23" s="22"/>
      <c r="O23" s="22"/>
      <c r="P23" s="22"/>
    </row>
    <row r="24" spans="1:16" x14ac:dyDescent="0.35">
      <c r="A24" s="20"/>
      <c r="B24" s="21"/>
      <c r="C24" s="22"/>
      <c r="D24" s="22"/>
      <c r="E24" s="22"/>
      <c r="F24" s="22"/>
      <c r="G24" s="22"/>
      <c r="H24" s="22"/>
      <c r="I24" s="24"/>
      <c r="J24" s="24"/>
      <c r="K24" s="24"/>
      <c r="L24" s="22"/>
      <c r="M24" s="22"/>
      <c r="N24" s="22"/>
      <c r="O24" s="22"/>
      <c r="P24" s="22"/>
    </row>
    <row r="25" spans="1:16" x14ac:dyDescent="0.35">
      <c r="A25" s="20"/>
      <c r="B25" s="21"/>
      <c r="C25" s="22"/>
      <c r="D25" s="22"/>
      <c r="E25" s="22"/>
      <c r="F25" s="22"/>
      <c r="G25" s="22"/>
      <c r="H25" s="22"/>
      <c r="I25" s="24"/>
      <c r="J25" s="24"/>
      <c r="K25" s="24"/>
      <c r="L25" s="22"/>
      <c r="M25" s="22"/>
      <c r="N25" s="22"/>
      <c r="O25" s="22"/>
      <c r="P25" s="22"/>
    </row>
    <row r="26" spans="1:16" x14ac:dyDescent="0.35">
      <c r="A26" s="20"/>
      <c r="B26" s="21"/>
      <c r="C26" s="22"/>
      <c r="D26" s="22"/>
      <c r="E26" s="22"/>
      <c r="F26" s="22"/>
      <c r="G26" s="22"/>
      <c r="H26" s="22"/>
      <c r="I26" s="24"/>
      <c r="J26" s="24"/>
      <c r="K26" s="24"/>
      <c r="L26" s="22"/>
      <c r="M26" s="22"/>
      <c r="N26" s="22"/>
      <c r="O26" s="22"/>
      <c r="P26" s="22"/>
    </row>
    <row r="27" spans="1:16" x14ac:dyDescent="0.35">
      <c r="A27" s="20"/>
      <c r="B27" s="21"/>
      <c r="C27" s="22"/>
      <c r="D27" s="22"/>
      <c r="E27" s="22"/>
      <c r="F27" s="22"/>
      <c r="G27" s="22"/>
      <c r="H27" s="22"/>
      <c r="I27" s="24"/>
      <c r="J27" s="24"/>
      <c r="K27" s="24"/>
      <c r="L27" s="22"/>
      <c r="M27" s="22"/>
      <c r="N27" s="22"/>
      <c r="O27" s="22"/>
      <c r="P27" s="22"/>
    </row>
    <row r="28" spans="1:16" x14ac:dyDescent="0.35">
      <c r="A28" s="20"/>
      <c r="B28" s="21"/>
      <c r="C28" s="22"/>
      <c r="D28" s="22"/>
      <c r="E28" s="22"/>
      <c r="F28" s="22"/>
      <c r="G28" s="22"/>
      <c r="H28" s="22"/>
      <c r="I28" s="24"/>
      <c r="J28" s="24"/>
      <c r="K28" s="24"/>
      <c r="L28" s="22"/>
      <c r="M28" s="22"/>
      <c r="N28" s="22"/>
      <c r="O28" s="22"/>
      <c r="P28" s="22"/>
    </row>
    <row r="29" spans="1:16" x14ac:dyDescent="0.35">
      <c r="A29" s="20"/>
      <c r="B29" s="21"/>
      <c r="C29" s="22"/>
      <c r="D29" s="22"/>
      <c r="E29" s="22"/>
      <c r="F29" s="22"/>
      <c r="G29" s="22"/>
      <c r="H29" s="22"/>
      <c r="I29" s="24"/>
      <c r="J29" s="24"/>
      <c r="K29" s="24"/>
      <c r="L29" s="22"/>
      <c r="M29" s="22"/>
      <c r="N29" s="22"/>
      <c r="O29" s="22"/>
      <c r="P29" s="22"/>
    </row>
    <row r="30" spans="1:16" x14ac:dyDescent="0.35">
      <c r="A30" s="20"/>
      <c r="B30" s="21"/>
      <c r="C30" s="22"/>
      <c r="D30" s="22"/>
      <c r="E30" s="22"/>
      <c r="F30" s="22"/>
      <c r="G30" s="22"/>
      <c r="H30" s="22"/>
      <c r="I30" s="24"/>
      <c r="J30" s="24"/>
      <c r="K30" s="24"/>
      <c r="L30" s="22"/>
      <c r="M30" s="22"/>
      <c r="N30" s="22"/>
      <c r="O30" s="22"/>
      <c r="P30" s="22"/>
    </row>
    <row r="31" spans="1:16" x14ac:dyDescent="0.35">
      <c r="A31" s="20"/>
      <c r="B31" s="21"/>
      <c r="C31" s="22"/>
      <c r="D31" s="22"/>
      <c r="E31" s="22"/>
      <c r="F31" s="22"/>
      <c r="G31" s="22"/>
      <c r="H31" s="22"/>
      <c r="I31" s="24"/>
      <c r="J31" s="24"/>
      <c r="K31" s="24"/>
      <c r="L31" s="22"/>
      <c r="M31" s="22"/>
      <c r="N31" s="22"/>
      <c r="O31" s="22"/>
      <c r="P31" s="22"/>
    </row>
    <row r="32" spans="1:16" x14ac:dyDescent="0.35">
      <c r="A32" s="20"/>
      <c r="B32" s="21"/>
      <c r="C32" s="22"/>
      <c r="D32" s="22"/>
      <c r="E32" s="22"/>
      <c r="F32" s="22"/>
      <c r="G32" s="22"/>
      <c r="H32" s="22"/>
      <c r="I32" s="24"/>
      <c r="J32" s="24"/>
      <c r="K32" s="24"/>
      <c r="L32" s="22"/>
      <c r="M32" s="22"/>
      <c r="N32" s="22"/>
      <c r="O32" s="22"/>
      <c r="P32" s="22"/>
    </row>
    <row r="33" spans="1:16" x14ac:dyDescent="0.35">
      <c r="A33" s="20"/>
      <c r="B33" s="21"/>
      <c r="C33" s="22"/>
      <c r="D33" s="22"/>
      <c r="E33" s="22"/>
      <c r="F33" s="22"/>
      <c r="G33" s="22"/>
      <c r="H33" s="22"/>
      <c r="I33" s="24"/>
      <c r="J33" s="24"/>
      <c r="K33" s="24"/>
      <c r="L33" s="22"/>
      <c r="M33" s="22"/>
      <c r="N33" s="22"/>
      <c r="O33" s="22"/>
      <c r="P33" s="22"/>
    </row>
    <row r="34" spans="1:16" x14ac:dyDescent="0.35">
      <c r="A34" s="20"/>
      <c r="B34" s="21"/>
      <c r="C34" s="22"/>
      <c r="D34" s="22"/>
      <c r="E34" s="22"/>
      <c r="F34" s="22"/>
      <c r="G34" s="22"/>
      <c r="H34" s="22"/>
      <c r="I34" s="24"/>
      <c r="J34" s="24"/>
      <c r="K34" s="24"/>
      <c r="L34" s="22"/>
      <c r="M34" s="22"/>
      <c r="N34" s="22"/>
      <c r="O34" s="22"/>
      <c r="P34" s="22"/>
    </row>
    <row r="35" spans="1:16" x14ac:dyDescent="0.35">
      <c r="A35" s="20"/>
      <c r="B35" s="21"/>
      <c r="C35" s="22"/>
      <c r="D35" s="22"/>
      <c r="E35" s="22"/>
      <c r="F35" s="22"/>
      <c r="G35" s="22"/>
      <c r="H35" s="22"/>
      <c r="I35" s="24"/>
      <c r="J35" s="24"/>
      <c r="K35" s="24"/>
      <c r="L35" s="22"/>
      <c r="M35" s="22"/>
      <c r="N35" s="22"/>
      <c r="O35" s="22"/>
      <c r="P35" s="22"/>
    </row>
    <row r="36" spans="1:16" x14ac:dyDescent="0.35">
      <c r="A36" s="20"/>
      <c r="B36" s="21"/>
      <c r="C36" s="22"/>
      <c r="D36" s="22"/>
      <c r="E36" s="22"/>
      <c r="F36" s="22"/>
      <c r="G36" s="22"/>
      <c r="H36" s="22"/>
      <c r="I36" s="24"/>
      <c r="J36" s="24"/>
      <c r="K36" s="24"/>
      <c r="L36" s="22"/>
      <c r="M36" s="22"/>
      <c r="N36" s="22"/>
      <c r="O36" s="22"/>
      <c r="P36" s="22"/>
    </row>
    <row r="37" spans="1:16" x14ac:dyDescent="0.35">
      <c r="A37" s="20"/>
      <c r="B37" s="21"/>
      <c r="C37" s="22"/>
      <c r="D37" s="22"/>
      <c r="E37" s="22"/>
      <c r="F37" s="22"/>
      <c r="G37" s="22"/>
      <c r="H37" s="22"/>
      <c r="I37" s="24"/>
      <c r="J37" s="24"/>
      <c r="K37" s="24"/>
      <c r="L37" s="22"/>
      <c r="M37" s="22"/>
      <c r="N37" s="22"/>
      <c r="O37" s="22"/>
      <c r="P37" s="22"/>
    </row>
    <row r="38" spans="1:16" x14ac:dyDescent="0.35">
      <c r="A38" s="20"/>
      <c r="B38" s="21"/>
      <c r="C38" s="22"/>
      <c r="D38" s="22"/>
      <c r="E38" s="22"/>
      <c r="F38" s="22"/>
      <c r="G38" s="22"/>
      <c r="H38" s="22"/>
      <c r="I38" s="24"/>
      <c r="J38" s="24"/>
      <c r="K38" s="24"/>
      <c r="L38" s="22"/>
      <c r="M38" s="22"/>
      <c r="N38" s="22"/>
      <c r="O38" s="22"/>
      <c r="P38" s="22"/>
    </row>
    <row r="39" spans="1:16" x14ac:dyDescent="0.35">
      <c r="A39" s="20"/>
      <c r="B39" s="21"/>
      <c r="C39" s="22"/>
      <c r="D39" s="22"/>
      <c r="E39" s="22"/>
      <c r="F39" s="22"/>
      <c r="G39" s="22"/>
      <c r="H39" s="22"/>
      <c r="I39" s="24"/>
      <c r="J39" s="24"/>
      <c r="K39" s="24"/>
      <c r="L39" s="22"/>
      <c r="M39" s="22"/>
      <c r="N39" s="22"/>
      <c r="O39" s="22"/>
      <c r="P39" s="22"/>
    </row>
    <row r="40" spans="1:16" x14ac:dyDescent="0.35">
      <c r="A40" s="20"/>
      <c r="B40" s="21"/>
      <c r="C40" s="22"/>
      <c r="D40" s="22"/>
      <c r="E40" s="22"/>
      <c r="F40" s="22"/>
      <c r="G40" s="22"/>
      <c r="H40" s="22"/>
      <c r="I40" s="24"/>
      <c r="J40" s="24"/>
      <c r="K40" s="24"/>
      <c r="L40" s="22"/>
      <c r="M40" s="22"/>
      <c r="N40" s="22"/>
      <c r="O40" s="22"/>
      <c r="P40" s="22"/>
    </row>
    <row r="41" spans="1:16" x14ac:dyDescent="0.35">
      <c r="A41" s="20"/>
      <c r="B41" s="21"/>
      <c r="C41" s="22"/>
      <c r="D41" s="22"/>
      <c r="E41" s="22"/>
      <c r="F41" s="22"/>
      <c r="G41" s="22"/>
      <c r="H41" s="22"/>
      <c r="I41" s="24"/>
      <c r="J41" s="24"/>
      <c r="K41" s="24"/>
      <c r="L41" s="22"/>
      <c r="M41" s="22"/>
      <c r="N41" s="22"/>
      <c r="O41" s="22"/>
      <c r="P41" s="22"/>
    </row>
    <row r="42" spans="1:16" x14ac:dyDescent="0.35">
      <c r="A42" s="20"/>
      <c r="B42" s="21"/>
      <c r="C42" s="22"/>
      <c r="D42" s="22"/>
      <c r="E42" s="22"/>
      <c r="F42" s="22"/>
      <c r="G42" s="22"/>
      <c r="H42" s="22"/>
      <c r="I42" s="24"/>
      <c r="J42" s="24"/>
      <c r="K42" s="24"/>
      <c r="L42" s="22"/>
      <c r="M42" s="22"/>
      <c r="N42" s="22"/>
      <c r="O42" s="22"/>
      <c r="P42" s="22"/>
    </row>
    <row r="43" spans="1:16" x14ac:dyDescent="0.35">
      <c r="A43" s="20"/>
      <c r="B43" s="21"/>
      <c r="C43" s="22"/>
      <c r="D43" s="22"/>
      <c r="E43" s="22"/>
      <c r="F43" s="22"/>
      <c r="G43" s="22"/>
      <c r="H43" s="22"/>
      <c r="I43" s="24"/>
      <c r="J43" s="24"/>
      <c r="K43" s="24"/>
      <c r="L43" s="22"/>
      <c r="M43" s="22"/>
      <c r="N43" s="22"/>
      <c r="O43" s="22"/>
      <c r="P43" s="22"/>
    </row>
    <row r="44" spans="1:16" x14ac:dyDescent="0.35">
      <c r="A44" s="20"/>
      <c r="B44" s="21"/>
      <c r="C44" s="22"/>
      <c r="D44" s="22"/>
      <c r="E44" s="22"/>
      <c r="F44" s="22"/>
      <c r="G44" s="22"/>
      <c r="H44" s="22"/>
      <c r="I44" s="24"/>
      <c r="J44" s="24"/>
      <c r="K44" s="24"/>
      <c r="L44" s="22"/>
      <c r="M44" s="22"/>
      <c r="N44" s="22"/>
      <c r="O44" s="22"/>
      <c r="P44" s="22"/>
    </row>
    <row r="45" spans="1:16" x14ac:dyDescent="0.35">
      <c r="A45" s="20"/>
      <c r="B45" s="21"/>
      <c r="C45" s="22"/>
      <c r="D45" s="22"/>
      <c r="E45" s="22"/>
      <c r="F45" s="22"/>
      <c r="G45" s="22"/>
      <c r="H45" s="22"/>
      <c r="I45" s="24"/>
      <c r="J45" s="24"/>
      <c r="K45" s="24"/>
      <c r="L45" s="22"/>
      <c r="M45" s="22"/>
      <c r="N45" s="22"/>
      <c r="O45" s="22"/>
      <c r="P45" s="22"/>
    </row>
    <row r="46" spans="1:16" x14ac:dyDescent="0.35">
      <c r="A46" s="20"/>
      <c r="B46" s="21"/>
      <c r="C46" s="22"/>
      <c r="D46" s="22"/>
      <c r="E46" s="22"/>
      <c r="F46" s="22"/>
      <c r="G46" s="22"/>
      <c r="H46" s="22"/>
      <c r="I46" s="24"/>
      <c r="J46" s="24"/>
      <c r="K46" s="24"/>
      <c r="L46" s="22"/>
      <c r="M46" s="22"/>
      <c r="N46" s="22"/>
      <c r="O46" s="22"/>
      <c r="P46" s="22"/>
    </row>
    <row r="47" spans="1:16" x14ac:dyDescent="0.35">
      <c r="A47" s="20"/>
      <c r="B47" s="21"/>
      <c r="C47" s="22"/>
      <c r="D47" s="22"/>
      <c r="E47" s="22"/>
      <c r="F47" s="22"/>
      <c r="G47" s="22"/>
      <c r="H47" s="22"/>
      <c r="I47" s="24"/>
      <c r="J47" s="24"/>
      <c r="K47" s="24"/>
      <c r="L47" s="22"/>
      <c r="M47" s="22"/>
      <c r="N47" s="22"/>
      <c r="O47" s="22"/>
      <c r="P47" s="22"/>
    </row>
    <row r="48" spans="1:16" x14ac:dyDescent="0.35">
      <c r="A48" s="20"/>
      <c r="B48" s="21"/>
      <c r="C48" s="22"/>
      <c r="D48" s="22"/>
      <c r="E48" s="22"/>
      <c r="F48" s="22"/>
      <c r="G48" s="22"/>
      <c r="H48" s="22"/>
      <c r="I48" s="24"/>
      <c r="J48" s="24"/>
      <c r="K48" s="24"/>
      <c r="L48" s="22"/>
      <c r="M48" s="22"/>
      <c r="N48" s="22"/>
      <c r="O48" s="22"/>
      <c r="P48" s="22"/>
    </row>
    <row r="49" spans="1:16" x14ac:dyDescent="0.35">
      <c r="A49" s="20"/>
      <c r="B49" s="21"/>
      <c r="C49" s="22"/>
      <c r="D49" s="22"/>
      <c r="E49" s="22"/>
      <c r="F49" s="22"/>
      <c r="G49" s="22"/>
      <c r="H49" s="22"/>
      <c r="I49" s="24"/>
      <c r="J49" s="24"/>
      <c r="K49" s="24"/>
      <c r="L49" s="22"/>
      <c r="M49" s="22"/>
      <c r="N49" s="22"/>
      <c r="O49" s="22"/>
      <c r="P49" s="22"/>
    </row>
    <row r="50" spans="1:16" x14ac:dyDescent="0.35">
      <c r="A50" s="20"/>
      <c r="B50" s="21"/>
      <c r="C50" s="22"/>
      <c r="D50" s="22"/>
      <c r="E50" s="22"/>
      <c r="F50" s="22"/>
      <c r="G50" s="22"/>
      <c r="H50" s="22"/>
      <c r="I50" s="24"/>
      <c r="J50" s="24"/>
      <c r="K50" s="24"/>
      <c r="L50" s="22"/>
      <c r="M50" s="22"/>
      <c r="N50" s="22"/>
      <c r="O50" s="22"/>
      <c r="P50" s="22"/>
    </row>
    <row r="51" spans="1:16" x14ac:dyDescent="0.35">
      <c r="A51" s="20"/>
      <c r="B51" s="21"/>
      <c r="C51" s="22"/>
      <c r="D51" s="22"/>
      <c r="E51" s="22"/>
      <c r="F51" s="22"/>
      <c r="G51" s="22"/>
      <c r="H51" s="22"/>
      <c r="I51" s="24"/>
      <c r="J51" s="24"/>
      <c r="K51" s="24"/>
      <c r="L51" s="22"/>
      <c r="M51" s="22"/>
      <c r="N51" s="22"/>
      <c r="O51" s="22"/>
      <c r="P51" s="22"/>
    </row>
    <row r="52" spans="1:16" x14ac:dyDescent="0.35">
      <c r="A52" s="20"/>
      <c r="B52" s="21"/>
      <c r="C52" s="22"/>
      <c r="D52" s="22"/>
      <c r="E52" s="22"/>
      <c r="F52" s="22"/>
      <c r="G52" s="22"/>
      <c r="H52" s="22"/>
      <c r="I52" s="24"/>
      <c r="J52" s="24"/>
      <c r="K52" s="24"/>
      <c r="L52" s="22"/>
      <c r="M52" s="22"/>
      <c r="N52" s="22"/>
      <c r="O52" s="22"/>
      <c r="P52" s="22"/>
    </row>
    <row r="53" spans="1:16" x14ac:dyDescent="0.35">
      <c r="A53" s="20"/>
      <c r="B53" s="21"/>
      <c r="C53" s="22"/>
      <c r="D53" s="22"/>
      <c r="E53" s="22"/>
      <c r="F53" s="22"/>
      <c r="G53" s="22"/>
      <c r="H53" s="22"/>
      <c r="I53" s="24"/>
      <c r="J53" s="24"/>
      <c r="K53" s="24"/>
      <c r="L53" s="22"/>
      <c r="M53" s="22"/>
      <c r="N53" s="22"/>
      <c r="O53" s="22"/>
      <c r="P53" s="22"/>
    </row>
    <row r="54" spans="1:16" x14ac:dyDescent="0.35">
      <c r="A54" s="20"/>
      <c r="B54" s="58"/>
      <c r="C54" s="22"/>
      <c r="D54" s="22"/>
      <c r="E54" s="22"/>
      <c r="F54" s="22"/>
      <c r="G54" s="22"/>
      <c r="H54" s="22"/>
      <c r="I54" s="24"/>
      <c r="J54" s="24"/>
      <c r="K54" s="24"/>
      <c r="L54" s="22"/>
      <c r="M54" s="22"/>
      <c r="N54" s="22"/>
      <c r="O54" s="22"/>
      <c r="P54" s="22"/>
    </row>
    <row r="55" spans="1:16" x14ac:dyDescent="0.35">
      <c r="A55" s="20"/>
      <c r="B55" s="58"/>
      <c r="C55" s="22"/>
      <c r="D55" s="22"/>
      <c r="E55" s="22"/>
      <c r="F55" s="22"/>
      <c r="G55" s="22"/>
      <c r="H55" s="22"/>
      <c r="I55" s="24"/>
      <c r="J55" s="24"/>
      <c r="K55" s="24"/>
      <c r="L55" s="22"/>
      <c r="M55" s="22"/>
      <c r="N55" s="22"/>
      <c r="O55" s="22"/>
      <c r="P55" s="22"/>
    </row>
    <row r="56" spans="1:16" x14ac:dyDescent="0.35">
      <c r="A56" s="20"/>
      <c r="B56" s="58"/>
      <c r="C56" s="22"/>
      <c r="D56" s="22"/>
      <c r="E56" s="22"/>
      <c r="F56" s="22"/>
      <c r="G56" s="22"/>
      <c r="H56" s="22"/>
      <c r="I56" s="24"/>
      <c r="J56" s="24"/>
      <c r="K56" s="24"/>
      <c r="L56" s="22"/>
      <c r="M56" s="22"/>
      <c r="N56" s="22"/>
      <c r="O56" s="22"/>
      <c r="P56" s="22"/>
    </row>
    <row r="57" spans="1:16" x14ac:dyDescent="0.35">
      <c r="A57" s="20"/>
      <c r="B57" s="58"/>
      <c r="C57" s="22"/>
      <c r="D57" s="22"/>
      <c r="E57" s="22"/>
      <c r="F57" s="22"/>
      <c r="G57" s="22"/>
      <c r="H57" s="22"/>
      <c r="I57" s="24"/>
      <c r="J57" s="24"/>
      <c r="K57" s="24"/>
      <c r="L57" s="22"/>
      <c r="M57" s="22"/>
      <c r="N57" s="22"/>
      <c r="O57" s="22"/>
      <c r="P57" s="22"/>
    </row>
    <row r="58" spans="1:16" x14ac:dyDescent="0.35">
      <c r="A58" s="20"/>
      <c r="B58" s="58"/>
      <c r="C58" s="22"/>
      <c r="D58" s="22"/>
      <c r="E58" s="22"/>
      <c r="F58" s="22"/>
      <c r="G58" s="22"/>
      <c r="H58" s="22"/>
      <c r="I58" s="24"/>
      <c r="J58" s="24"/>
      <c r="K58" s="24"/>
      <c r="L58" s="22"/>
      <c r="M58" s="22"/>
      <c r="N58" s="22"/>
      <c r="O58" s="22"/>
      <c r="P58" s="22"/>
    </row>
    <row r="59" spans="1:16" x14ac:dyDescent="0.35">
      <c r="A59" s="20"/>
      <c r="B59" s="58"/>
      <c r="C59" s="22"/>
      <c r="D59" s="22"/>
      <c r="E59" s="22"/>
      <c r="F59" s="22"/>
      <c r="G59" s="22"/>
      <c r="H59" s="22"/>
      <c r="I59" s="24"/>
      <c r="J59" s="24"/>
      <c r="K59" s="24"/>
      <c r="L59" s="22"/>
      <c r="M59" s="22"/>
      <c r="N59" s="22"/>
      <c r="O59" s="22"/>
      <c r="P59" s="22"/>
    </row>
    <row r="60" spans="1:16" x14ac:dyDescent="0.35">
      <c r="A60" s="20"/>
      <c r="B60" s="58"/>
      <c r="C60" s="22"/>
      <c r="D60" s="22"/>
      <c r="E60" s="22"/>
      <c r="F60" s="22"/>
      <c r="G60" s="22"/>
      <c r="H60" s="22"/>
      <c r="I60" s="24"/>
      <c r="J60" s="24"/>
      <c r="K60" s="24"/>
      <c r="L60" s="22"/>
      <c r="M60" s="22"/>
      <c r="N60" s="22"/>
      <c r="O60" s="22"/>
      <c r="P60" s="22"/>
    </row>
    <row r="61" spans="1:16" x14ac:dyDescent="0.35">
      <c r="A61" s="20"/>
      <c r="B61" s="58"/>
      <c r="C61" s="22"/>
      <c r="D61" s="22"/>
      <c r="E61" s="22"/>
      <c r="F61" s="22"/>
      <c r="G61" s="22"/>
      <c r="H61" s="22"/>
      <c r="I61" s="24"/>
      <c r="J61" s="24"/>
      <c r="K61" s="24"/>
      <c r="L61" s="22"/>
      <c r="M61" s="22"/>
      <c r="N61" s="22"/>
      <c r="O61" s="22"/>
      <c r="P61" s="22"/>
    </row>
    <row r="62" spans="1:16" x14ac:dyDescent="0.35">
      <c r="A62" s="20"/>
      <c r="B62" s="58"/>
      <c r="C62" s="22"/>
      <c r="D62" s="22"/>
      <c r="E62" s="22"/>
      <c r="F62" s="22"/>
      <c r="G62" s="22"/>
      <c r="H62" s="22"/>
      <c r="I62" s="24"/>
      <c r="J62" s="24"/>
      <c r="K62" s="24"/>
      <c r="L62" s="22"/>
      <c r="M62" s="22"/>
      <c r="N62" s="22"/>
      <c r="O62" s="22"/>
      <c r="P62" s="22"/>
    </row>
    <row r="63" spans="1:16" x14ac:dyDescent="0.35">
      <c r="A63" s="20"/>
      <c r="B63" s="58"/>
      <c r="C63" s="22"/>
      <c r="D63" s="22"/>
      <c r="E63" s="22"/>
      <c r="F63" s="22"/>
      <c r="G63" s="22"/>
      <c r="H63" s="22"/>
      <c r="I63" s="24"/>
      <c r="J63" s="24"/>
      <c r="K63" s="24"/>
      <c r="L63" s="22"/>
      <c r="M63" s="22"/>
      <c r="N63" s="22"/>
      <c r="O63" s="22"/>
      <c r="P63" s="22"/>
    </row>
    <row r="64" spans="1:16" x14ac:dyDescent="0.35">
      <c r="A64" s="20"/>
      <c r="B64" s="58"/>
      <c r="C64" s="22"/>
      <c r="D64" s="22"/>
      <c r="E64" s="22"/>
      <c r="F64" s="22"/>
      <c r="G64" s="22"/>
      <c r="H64" s="22"/>
      <c r="I64" s="24"/>
      <c r="J64" s="24"/>
      <c r="K64" s="24"/>
      <c r="L64" s="22"/>
      <c r="M64" s="22"/>
      <c r="N64" s="22"/>
      <c r="O64" s="22"/>
      <c r="P64" s="22"/>
    </row>
    <row r="65" spans="1:16" x14ac:dyDescent="0.35">
      <c r="A65" s="20"/>
      <c r="B65" s="58"/>
      <c r="C65" s="22"/>
      <c r="D65" s="22"/>
      <c r="E65" s="22"/>
      <c r="F65" s="22"/>
      <c r="G65" s="22"/>
      <c r="H65" s="22"/>
      <c r="I65" s="24"/>
      <c r="J65" s="24"/>
      <c r="K65" s="24"/>
      <c r="L65" s="22"/>
      <c r="M65" s="22"/>
      <c r="N65" s="22"/>
      <c r="O65" s="22"/>
      <c r="P65" s="22"/>
    </row>
    <row r="66" spans="1:16" x14ac:dyDescent="0.35">
      <c r="A66" s="20"/>
      <c r="B66" s="58"/>
      <c r="C66" s="22"/>
      <c r="D66" s="22"/>
      <c r="E66" s="22"/>
      <c r="F66" s="22"/>
      <c r="G66" s="22"/>
      <c r="H66" s="22"/>
      <c r="I66" s="24"/>
      <c r="J66" s="24"/>
      <c r="K66" s="24"/>
      <c r="L66" s="22"/>
      <c r="M66" s="22"/>
      <c r="N66" s="22"/>
      <c r="O66" s="22"/>
      <c r="P66" s="22"/>
    </row>
    <row r="67" spans="1:16" x14ac:dyDescent="0.35">
      <c r="A67" s="20"/>
      <c r="B67" s="58"/>
      <c r="C67" s="22"/>
      <c r="D67" s="22"/>
      <c r="E67" s="22"/>
      <c r="F67" s="22"/>
      <c r="G67" s="22"/>
      <c r="H67" s="22"/>
      <c r="I67" s="24"/>
      <c r="J67" s="24"/>
      <c r="K67" s="24"/>
      <c r="L67" s="22"/>
      <c r="M67" s="22"/>
      <c r="N67" s="22"/>
      <c r="O67" s="22"/>
      <c r="P67" s="22"/>
    </row>
    <row r="68" spans="1:16" x14ac:dyDescent="0.35">
      <c r="A68" s="20"/>
      <c r="B68" s="58"/>
      <c r="C68" s="22"/>
      <c r="D68" s="22"/>
      <c r="E68" s="22"/>
      <c r="F68" s="22"/>
      <c r="G68" s="22"/>
      <c r="H68" s="22"/>
      <c r="I68" s="24"/>
      <c r="J68" s="24"/>
      <c r="K68" s="24"/>
      <c r="L68" s="22"/>
      <c r="M68" s="22"/>
      <c r="N68" s="22"/>
      <c r="O68" s="22"/>
      <c r="P68" s="22"/>
    </row>
    <row r="69" spans="1:16" x14ac:dyDescent="0.35">
      <c r="A69" s="20"/>
      <c r="B69" s="58"/>
      <c r="C69" s="22"/>
      <c r="D69" s="22"/>
      <c r="E69" s="22"/>
      <c r="F69" s="22"/>
      <c r="G69" s="22"/>
      <c r="H69" s="22"/>
      <c r="I69" s="24"/>
      <c r="J69" s="24"/>
      <c r="K69" s="24"/>
      <c r="L69" s="22"/>
      <c r="M69" s="22"/>
      <c r="N69" s="22"/>
      <c r="O69" s="22"/>
      <c r="P69" s="22"/>
    </row>
    <row r="70" spans="1:16" x14ac:dyDescent="0.35">
      <c r="A70" s="20"/>
      <c r="B70" s="58"/>
      <c r="C70" s="22"/>
      <c r="D70" s="22"/>
      <c r="E70" s="22"/>
      <c r="F70" s="22"/>
      <c r="G70" s="22"/>
      <c r="H70" s="22"/>
      <c r="I70" s="24"/>
      <c r="J70" s="24"/>
      <c r="K70" s="24"/>
      <c r="L70" s="22"/>
      <c r="M70" s="22"/>
      <c r="N70" s="22"/>
      <c r="O70" s="22"/>
      <c r="P70" s="22"/>
    </row>
    <row r="71" spans="1:16" x14ac:dyDescent="0.35">
      <c r="A71" s="20"/>
      <c r="B71" s="58"/>
      <c r="C71" s="22"/>
      <c r="D71" s="22"/>
      <c r="E71" s="22"/>
      <c r="F71" s="22"/>
      <c r="G71" s="22"/>
      <c r="H71" s="22"/>
      <c r="I71" s="24"/>
      <c r="J71" s="24"/>
      <c r="K71" s="24"/>
      <c r="L71" s="22"/>
      <c r="M71" s="22"/>
      <c r="N71" s="22"/>
      <c r="O71" s="22"/>
      <c r="P71" s="22"/>
    </row>
    <row r="72" spans="1:16" x14ac:dyDescent="0.35">
      <c r="A72" s="20"/>
      <c r="B72" s="58"/>
      <c r="C72" s="22"/>
      <c r="D72" s="22"/>
      <c r="E72" s="22"/>
      <c r="F72" s="22"/>
      <c r="G72" s="22"/>
      <c r="H72" s="22"/>
      <c r="I72" s="24"/>
      <c r="J72" s="24"/>
      <c r="K72" s="24"/>
      <c r="L72" s="22"/>
      <c r="M72" s="22"/>
      <c r="N72" s="22"/>
      <c r="O72" s="22"/>
      <c r="P72" s="22"/>
    </row>
    <row r="73" spans="1:16" x14ac:dyDescent="0.35">
      <c r="A73" s="20"/>
      <c r="B73" s="58"/>
      <c r="C73" s="22"/>
      <c r="D73" s="22"/>
      <c r="E73" s="22"/>
      <c r="F73" s="22"/>
      <c r="G73" s="22"/>
      <c r="H73" s="22"/>
      <c r="I73" s="24"/>
      <c r="J73" s="24"/>
      <c r="K73" s="24"/>
      <c r="L73" s="22"/>
      <c r="M73" s="22"/>
      <c r="N73" s="22"/>
      <c r="O73" s="22"/>
      <c r="P73" s="22"/>
    </row>
    <row r="74" spans="1:16" x14ac:dyDescent="0.35">
      <c r="A74" s="20"/>
      <c r="B74" s="58"/>
      <c r="C74" s="22"/>
      <c r="D74" s="22"/>
      <c r="E74" s="22"/>
      <c r="F74" s="22"/>
      <c r="G74" s="22"/>
      <c r="H74" s="22"/>
      <c r="I74" s="24"/>
      <c r="J74" s="24"/>
      <c r="K74" s="24"/>
      <c r="L74" s="22"/>
      <c r="M74" s="22"/>
      <c r="N74" s="22"/>
      <c r="O74" s="22"/>
      <c r="P74" s="22"/>
    </row>
    <row r="75" spans="1:16" x14ac:dyDescent="0.35">
      <c r="A75" s="20"/>
      <c r="B75" s="58"/>
      <c r="C75" s="22"/>
      <c r="D75" s="22"/>
      <c r="E75" s="22"/>
      <c r="F75" s="22"/>
      <c r="G75" s="22"/>
      <c r="H75" s="22"/>
      <c r="I75" s="24"/>
      <c r="J75" s="24"/>
      <c r="K75" s="24"/>
      <c r="L75" s="22"/>
      <c r="M75" s="22"/>
      <c r="N75" s="22"/>
      <c r="O75" s="22"/>
      <c r="P75" s="22"/>
    </row>
    <row r="76" spans="1:16" x14ac:dyDescent="0.35">
      <c r="A76" s="20"/>
      <c r="B76" s="58"/>
      <c r="C76" s="22"/>
      <c r="D76" s="22"/>
      <c r="E76" s="22"/>
      <c r="F76" s="22"/>
      <c r="G76" s="22"/>
      <c r="H76" s="22"/>
      <c r="I76" s="24"/>
      <c r="J76" s="24"/>
      <c r="K76" s="24"/>
      <c r="L76" s="22"/>
      <c r="M76" s="22"/>
      <c r="N76" s="22"/>
      <c r="O76" s="22"/>
      <c r="P76" s="22"/>
    </row>
    <row r="77" spans="1:16" x14ac:dyDescent="0.35">
      <c r="A77" s="20"/>
      <c r="B77" s="58"/>
      <c r="C77" s="22"/>
      <c r="D77" s="22"/>
      <c r="E77" s="22"/>
      <c r="F77" s="22"/>
      <c r="G77" s="22"/>
      <c r="H77" s="22"/>
      <c r="I77" s="24"/>
      <c r="J77" s="24"/>
      <c r="K77" s="24"/>
      <c r="L77" s="22"/>
      <c r="M77" s="22"/>
      <c r="N77" s="22"/>
      <c r="O77" s="22"/>
      <c r="P77" s="22"/>
    </row>
    <row r="78" spans="1:16" x14ac:dyDescent="0.35">
      <c r="A78" s="20"/>
      <c r="B78" s="58"/>
      <c r="C78" s="22"/>
      <c r="D78" s="22"/>
      <c r="E78" s="22"/>
      <c r="F78" s="22"/>
      <c r="G78" s="22"/>
      <c r="H78" s="22"/>
      <c r="I78" s="24"/>
      <c r="J78" s="24"/>
      <c r="K78" s="24"/>
      <c r="L78" s="22"/>
      <c r="M78" s="22"/>
      <c r="N78" s="22"/>
      <c r="O78" s="22"/>
      <c r="P78" s="22"/>
    </row>
    <row r="79" spans="1:16" x14ac:dyDescent="0.35">
      <c r="A79" s="20"/>
      <c r="B79" s="58"/>
      <c r="C79" s="22"/>
      <c r="D79" s="22"/>
      <c r="E79" s="22"/>
      <c r="F79" s="22"/>
      <c r="G79" s="22"/>
      <c r="H79" s="22"/>
      <c r="I79" s="24"/>
      <c r="J79" s="24"/>
      <c r="K79" s="24"/>
      <c r="L79" s="22"/>
      <c r="M79" s="22"/>
      <c r="N79" s="22"/>
      <c r="O79" s="22"/>
      <c r="P79" s="22"/>
    </row>
    <row r="80" spans="1:16" x14ac:dyDescent="0.35">
      <c r="A80" s="20"/>
      <c r="B80" s="58"/>
      <c r="C80" s="22"/>
      <c r="D80" s="22"/>
      <c r="E80" s="22"/>
      <c r="F80" s="22"/>
      <c r="G80" s="22"/>
      <c r="H80" s="22"/>
      <c r="I80" s="24"/>
      <c r="J80" s="24"/>
      <c r="K80" s="24"/>
      <c r="L80" s="22"/>
      <c r="M80" s="22"/>
      <c r="N80" s="22"/>
      <c r="O80" s="22"/>
      <c r="P80" s="22"/>
    </row>
    <row r="81" spans="1:16" x14ac:dyDescent="0.35">
      <c r="A81" s="20"/>
      <c r="B81" s="58"/>
      <c r="C81" s="22"/>
      <c r="D81" s="22"/>
      <c r="E81" s="22"/>
      <c r="F81" s="22"/>
      <c r="G81" s="22"/>
      <c r="H81" s="22"/>
      <c r="I81" s="24"/>
      <c r="J81" s="24"/>
      <c r="K81" s="24"/>
      <c r="L81" s="22"/>
      <c r="M81" s="22"/>
      <c r="N81" s="22"/>
      <c r="O81" s="22"/>
      <c r="P81" s="22"/>
    </row>
    <row r="82" spans="1:16" x14ac:dyDescent="0.35">
      <c r="A82" s="20"/>
      <c r="B82" s="58"/>
      <c r="C82" s="22"/>
      <c r="D82" s="22"/>
      <c r="E82" s="22"/>
      <c r="F82" s="22"/>
      <c r="G82" s="22"/>
      <c r="H82" s="22"/>
      <c r="I82" s="24"/>
      <c r="J82" s="24"/>
      <c r="K82" s="24"/>
      <c r="L82" s="22"/>
      <c r="M82" s="22"/>
      <c r="N82" s="22"/>
      <c r="O82" s="22"/>
      <c r="P82" s="22"/>
    </row>
    <row r="83" spans="1:16" x14ac:dyDescent="0.35">
      <c r="A83" s="20"/>
      <c r="B83" s="58"/>
      <c r="C83" s="22"/>
      <c r="D83" s="22"/>
      <c r="E83" s="22"/>
      <c r="F83" s="22"/>
      <c r="G83" s="22"/>
      <c r="H83" s="22"/>
      <c r="I83" s="24"/>
      <c r="J83" s="24"/>
      <c r="K83" s="24"/>
      <c r="L83" s="22"/>
      <c r="M83" s="22"/>
      <c r="N83" s="22"/>
      <c r="O83" s="22"/>
      <c r="P83" s="22"/>
    </row>
    <row r="84" spans="1:16" x14ac:dyDescent="0.35">
      <c r="A84" s="20"/>
      <c r="B84" s="58"/>
      <c r="C84" s="22"/>
      <c r="D84" s="22"/>
      <c r="E84" s="22"/>
      <c r="F84" s="22"/>
      <c r="G84" s="22"/>
      <c r="H84" s="22"/>
      <c r="I84" s="24"/>
      <c r="J84" s="24"/>
      <c r="K84" s="24"/>
      <c r="L84" s="22"/>
      <c r="M84" s="22"/>
      <c r="N84" s="22"/>
      <c r="O84" s="22"/>
      <c r="P84" s="22"/>
    </row>
    <row r="85" spans="1:16" x14ac:dyDescent="0.35">
      <c r="A85" s="20"/>
      <c r="B85" s="58"/>
      <c r="C85" s="22"/>
      <c r="D85" s="22"/>
      <c r="E85" s="22"/>
      <c r="F85" s="22"/>
      <c r="G85" s="22"/>
      <c r="H85" s="22"/>
      <c r="I85" s="24"/>
      <c r="J85" s="24"/>
      <c r="K85" s="24"/>
      <c r="L85" s="22"/>
      <c r="M85" s="22"/>
      <c r="N85" s="22"/>
      <c r="O85" s="22"/>
      <c r="P85" s="22"/>
    </row>
    <row r="86" spans="1:16" x14ac:dyDescent="0.35">
      <c r="A86" s="20"/>
      <c r="B86" s="58"/>
      <c r="C86" s="22"/>
      <c r="D86" s="22"/>
      <c r="E86" s="22"/>
      <c r="F86" s="22"/>
      <c r="G86" s="22"/>
      <c r="H86" s="22"/>
      <c r="I86" s="24"/>
      <c r="J86" s="24"/>
      <c r="K86" s="24"/>
      <c r="L86" s="22"/>
      <c r="M86" s="22"/>
      <c r="N86" s="22"/>
      <c r="O86" s="22"/>
      <c r="P86" s="22"/>
    </row>
    <row r="87" spans="1:16" x14ac:dyDescent="0.35">
      <c r="A87" s="20"/>
      <c r="B87" s="58"/>
      <c r="C87" s="22"/>
      <c r="D87" s="22"/>
      <c r="E87" s="22"/>
      <c r="F87" s="22"/>
      <c r="G87" s="22"/>
      <c r="H87" s="22"/>
      <c r="I87" s="24"/>
      <c r="J87" s="24"/>
      <c r="K87" s="24"/>
      <c r="L87" s="22"/>
      <c r="M87" s="22"/>
      <c r="N87" s="22"/>
      <c r="O87" s="22"/>
      <c r="P87" s="22"/>
    </row>
    <row r="88" spans="1:16" x14ac:dyDescent="0.35">
      <c r="A88" s="20"/>
      <c r="B88" s="58"/>
      <c r="C88" s="22"/>
      <c r="D88" s="22"/>
      <c r="E88" s="22"/>
      <c r="F88" s="22"/>
      <c r="G88" s="22"/>
      <c r="H88" s="22"/>
      <c r="I88" s="24"/>
      <c r="J88" s="24"/>
      <c r="K88" s="24"/>
      <c r="L88" s="22"/>
      <c r="M88" s="22"/>
      <c r="N88" s="22"/>
      <c r="O88" s="22"/>
      <c r="P88" s="22"/>
    </row>
    <row r="89" spans="1:16" x14ac:dyDescent="0.35">
      <c r="A89" s="20"/>
      <c r="B89" s="58"/>
      <c r="C89" s="22"/>
      <c r="D89" s="22"/>
      <c r="E89" s="22"/>
      <c r="F89" s="22"/>
      <c r="G89" s="22"/>
      <c r="H89" s="22"/>
      <c r="I89" s="24"/>
      <c r="J89" s="24"/>
      <c r="K89" s="24"/>
      <c r="L89" s="22"/>
      <c r="M89" s="22"/>
      <c r="N89" s="22"/>
      <c r="O89" s="22"/>
      <c r="P89" s="22"/>
    </row>
    <row r="90" spans="1:16" x14ac:dyDescent="0.35">
      <c r="A90" s="20"/>
      <c r="B90" s="58"/>
      <c r="C90" s="22"/>
      <c r="D90" s="22"/>
      <c r="E90" s="22"/>
      <c r="F90" s="22"/>
      <c r="G90" s="22"/>
      <c r="H90" s="22"/>
      <c r="I90" s="24"/>
      <c r="J90" s="24"/>
      <c r="K90" s="24"/>
      <c r="L90" s="22"/>
      <c r="M90" s="22"/>
      <c r="N90" s="22"/>
      <c r="O90" s="22"/>
      <c r="P90" s="22"/>
    </row>
    <row r="91" spans="1:16" x14ac:dyDescent="0.35">
      <c r="A91" s="20"/>
      <c r="B91" s="58"/>
      <c r="C91" s="22"/>
      <c r="D91" s="22"/>
      <c r="E91" s="22"/>
      <c r="F91" s="22"/>
      <c r="G91" s="22"/>
      <c r="H91" s="22"/>
      <c r="I91" s="24"/>
      <c r="J91" s="24"/>
      <c r="K91" s="24"/>
      <c r="L91" s="22"/>
      <c r="M91" s="22"/>
      <c r="N91" s="22"/>
      <c r="O91" s="22"/>
      <c r="P91" s="22"/>
    </row>
    <row r="92" spans="1:16" x14ac:dyDescent="0.35">
      <c r="A92" s="20"/>
      <c r="B92" s="58"/>
      <c r="C92" s="22"/>
      <c r="D92" s="22"/>
      <c r="E92" s="22"/>
      <c r="F92" s="22"/>
      <c r="G92" s="22"/>
      <c r="H92" s="22"/>
      <c r="I92" s="24"/>
      <c r="J92" s="24"/>
      <c r="K92" s="24"/>
      <c r="L92" s="22"/>
      <c r="M92" s="22"/>
      <c r="N92" s="22"/>
      <c r="O92" s="22"/>
      <c r="P92" s="22"/>
    </row>
    <row r="93" spans="1:16" x14ac:dyDescent="0.35">
      <c r="A93" s="20"/>
      <c r="B93" s="58"/>
      <c r="C93" s="22"/>
      <c r="D93" s="22"/>
      <c r="E93" s="22"/>
      <c r="F93" s="22"/>
      <c r="G93" s="22"/>
      <c r="H93" s="22"/>
      <c r="I93" s="24"/>
      <c r="J93" s="24"/>
      <c r="K93" s="24"/>
      <c r="L93" s="22"/>
      <c r="M93" s="22"/>
      <c r="N93" s="22"/>
      <c r="O93" s="22"/>
      <c r="P93" s="22"/>
    </row>
    <row r="94" spans="1:16" x14ac:dyDescent="0.35">
      <c r="A94" s="20"/>
      <c r="B94" s="58"/>
      <c r="C94" s="22"/>
      <c r="D94" s="22"/>
      <c r="E94" s="22"/>
      <c r="F94" s="22"/>
      <c r="G94" s="22"/>
      <c r="H94" s="22"/>
      <c r="I94" s="24"/>
      <c r="J94" s="24"/>
      <c r="K94" s="24"/>
      <c r="L94" s="22"/>
      <c r="M94" s="22"/>
      <c r="N94" s="22"/>
      <c r="O94" s="22"/>
      <c r="P94" s="22"/>
    </row>
    <row r="95" spans="1:16" x14ac:dyDescent="0.35">
      <c r="A95" s="20"/>
      <c r="B95" s="58"/>
      <c r="C95" s="22"/>
      <c r="D95" s="22"/>
      <c r="E95" s="22"/>
      <c r="F95" s="22"/>
      <c r="G95" s="22"/>
      <c r="H95" s="22"/>
      <c r="I95" s="24"/>
      <c r="J95" s="24"/>
      <c r="K95" s="24"/>
      <c r="L95" s="22"/>
      <c r="M95" s="22"/>
      <c r="N95" s="22"/>
      <c r="O95" s="22"/>
      <c r="P95" s="22"/>
    </row>
    <row r="96" spans="1:16" x14ac:dyDescent="0.35">
      <c r="A96" s="20"/>
      <c r="B96" s="58"/>
      <c r="C96" s="22"/>
      <c r="D96" s="22"/>
      <c r="E96" s="22"/>
      <c r="F96" s="22"/>
      <c r="G96" s="22"/>
      <c r="H96" s="22"/>
      <c r="I96" s="24"/>
      <c r="J96" s="24"/>
      <c r="K96" s="24"/>
      <c r="L96" s="22"/>
      <c r="M96" s="22"/>
      <c r="N96" s="22"/>
      <c r="O96" s="22"/>
      <c r="P96" s="22"/>
    </row>
    <row r="97" spans="1:16" x14ac:dyDescent="0.35">
      <c r="A97" s="20"/>
      <c r="B97" s="58"/>
      <c r="C97" s="22"/>
      <c r="D97" s="22"/>
      <c r="E97" s="22"/>
      <c r="F97" s="22"/>
      <c r="G97" s="22"/>
      <c r="H97" s="22"/>
      <c r="I97" s="24"/>
      <c r="J97" s="24"/>
      <c r="K97" s="24"/>
      <c r="L97" s="22"/>
      <c r="M97" s="22"/>
      <c r="N97" s="22"/>
      <c r="O97" s="22"/>
      <c r="P97" s="22"/>
    </row>
    <row r="98" spans="1:16" x14ac:dyDescent="0.35">
      <c r="A98" s="20"/>
      <c r="B98" s="58"/>
      <c r="C98" s="22"/>
      <c r="D98" s="22"/>
      <c r="E98" s="22"/>
      <c r="F98" s="22"/>
      <c r="G98" s="22"/>
      <c r="H98" s="22"/>
      <c r="I98" s="24"/>
      <c r="J98" s="24"/>
      <c r="K98" s="24"/>
      <c r="L98" s="22"/>
      <c r="M98" s="22"/>
      <c r="N98" s="22"/>
      <c r="O98" s="22"/>
      <c r="P98" s="22"/>
    </row>
    <row r="99" spans="1:16" x14ac:dyDescent="0.35">
      <c r="A99" s="20"/>
      <c r="B99" s="58"/>
      <c r="C99" s="22"/>
      <c r="D99" s="22"/>
      <c r="E99" s="22"/>
      <c r="F99" s="22"/>
      <c r="G99" s="22"/>
      <c r="H99" s="22"/>
      <c r="I99" s="24"/>
      <c r="J99" s="24"/>
      <c r="K99" s="24"/>
      <c r="L99" s="22"/>
      <c r="M99" s="22"/>
      <c r="N99" s="22"/>
      <c r="O99" s="22"/>
      <c r="P99" s="22"/>
    </row>
    <row r="100" spans="1:16" x14ac:dyDescent="0.35">
      <c r="A100" s="20"/>
      <c r="B100" s="58"/>
      <c r="C100" s="22"/>
      <c r="D100" s="22"/>
      <c r="E100" s="22"/>
      <c r="F100" s="22"/>
      <c r="G100" s="22"/>
      <c r="H100" s="22"/>
      <c r="I100" s="24"/>
      <c r="J100" s="24"/>
      <c r="K100" s="24"/>
      <c r="L100" s="22"/>
      <c r="M100" s="22"/>
      <c r="N100" s="22"/>
      <c r="O100" s="22"/>
      <c r="P100" s="22"/>
    </row>
    <row r="101" spans="1:16" x14ac:dyDescent="0.35">
      <c r="A101" s="20"/>
      <c r="B101" s="58"/>
      <c r="C101" s="22"/>
      <c r="D101" s="22"/>
      <c r="E101" s="22"/>
      <c r="F101" s="22"/>
      <c r="G101" s="22"/>
      <c r="H101" s="22"/>
      <c r="I101" s="24"/>
      <c r="J101" s="24"/>
      <c r="K101" s="24"/>
      <c r="L101" s="22"/>
      <c r="M101" s="22"/>
      <c r="N101" s="22"/>
      <c r="O101" s="22"/>
      <c r="P101" s="22"/>
    </row>
    <row r="102" spans="1:16" x14ac:dyDescent="0.35">
      <c r="A102" s="20"/>
      <c r="B102" s="58"/>
      <c r="C102" s="22"/>
      <c r="D102" s="22"/>
      <c r="E102" s="22"/>
      <c r="F102" s="22"/>
      <c r="G102" s="22"/>
      <c r="H102" s="22"/>
      <c r="I102" s="24"/>
      <c r="J102" s="24"/>
      <c r="K102" s="24"/>
      <c r="L102" s="22"/>
      <c r="M102" s="22"/>
      <c r="N102" s="22"/>
      <c r="O102" s="22"/>
      <c r="P102" s="22"/>
    </row>
  </sheetData>
  <mergeCells count="3">
    <mergeCell ref="A2:B2"/>
    <mergeCell ref="B6:P6"/>
    <mergeCell ref="B5:P5"/>
  </mergeCell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Datos!$D:$D</xm:f>
          </x14:formula1>
          <xm:sqref>A3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/>
  <dimension ref="D1:M21"/>
  <sheetViews>
    <sheetView topLeftCell="D4" workbookViewId="0">
      <selection activeCell="H20" sqref="H20:J20"/>
    </sheetView>
  </sheetViews>
  <sheetFormatPr baseColWidth="10" defaultRowHeight="14.5" x14ac:dyDescent="0.35"/>
  <cols>
    <col min="5" max="5" width="39.453125" customWidth="1"/>
    <col min="6" max="6" width="43.1796875" customWidth="1"/>
  </cols>
  <sheetData>
    <row r="1" spans="4:13" ht="21" x14ac:dyDescent="0.5">
      <c r="D1" s="48" t="s">
        <v>1</v>
      </c>
      <c r="E1" s="48"/>
      <c r="F1" s="48"/>
      <c r="G1" s="48"/>
      <c r="H1" s="48"/>
      <c r="I1" s="48"/>
      <c r="J1" s="48"/>
      <c r="K1" s="48"/>
      <c r="L1" s="48"/>
      <c r="M1" s="48"/>
    </row>
    <row r="2" spans="4:13" ht="21" x14ac:dyDescent="0.5">
      <c r="D2" s="48" t="s">
        <v>57</v>
      </c>
      <c r="E2" s="48"/>
      <c r="F2" s="48"/>
      <c r="G2" s="48"/>
      <c r="H2" s="48"/>
      <c r="I2" s="48"/>
      <c r="J2" s="48"/>
      <c r="K2" s="48"/>
      <c r="L2" s="48"/>
      <c r="M2" s="48"/>
    </row>
    <row r="20" spans="6:10" x14ac:dyDescent="0.35">
      <c r="F20" s="49" t="s">
        <v>60</v>
      </c>
      <c r="G20" s="50"/>
      <c r="H20" s="52" t="s">
        <v>61</v>
      </c>
      <c r="I20" s="49"/>
      <c r="J20" s="49"/>
    </row>
    <row r="21" spans="6:10" x14ac:dyDescent="0.35">
      <c r="F21" s="51">
        <f>Tabla_Consulta_desde_ValoracionClinica_1[REQUIERE ATENCIÓN CLINICA]</f>
        <v>0</v>
      </c>
      <c r="G21" s="51"/>
      <c r="H21" s="51">
        <f>Tabla_Consulta_desde_ValoracionClinica_1[NO REQUIERE ATENCIÓN CLINICA]</f>
        <v>9</v>
      </c>
      <c r="I21" s="51"/>
      <c r="J21" s="51"/>
    </row>
  </sheetData>
  <mergeCells count="6">
    <mergeCell ref="D1:M1"/>
    <mergeCell ref="D2:M2"/>
    <mergeCell ref="F20:G20"/>
    <mergeCell ref="F21:G21"/>
    <mergeCell ref="H20:J20"/>
    <mergeCell ref="H21:J2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A3:L360"/>
  <sheetViews>
    <sheetView zoomScale="55" zoomScaleNormal="55" workbookViewId="0">
      <selection activeCell="A4" sqref="A4:L50"/>
    </sheetView>
  </sheetViews>
  <sheetFormatPr baseColWidth="10" defaultRowHeight="14.5" x14ac:dyDescent="0.35"/>
  <cols>
    <col min="1" max="1" width="39" style="18" bestFit="1" customWidth="1"/>
    <col min="2" max="2" width="37.6328125" style="18" bestFit="1" customWidth="1"/>
    <col min="3" max="3" width="44.7265625" style="18" bestFit="1" customWidth="1"/>
    <col min="4" max="4" width="45.90625" style="18" bestFit="1" customWidth="1"/>
    <col min="5" max="5" width="21.36328125" style="18" bestFit="1" customWidth="1"/>
    <col min="6" max="6" width="40.08984375" style="18" bestFit="1" customWidth="1"/>
    <col min="7" max="7" width="23.7265625" style="18" bestFit="1" customWidth="1"/>
    <col min="8" max="8" width="50.1796875" style="18" bestFit="1" customWidth="1"/>
    <col min="9" max="9" width="13.1796875" style="18" bestFit="1" customWidth="1"/>
    <col min="10" max="10" width="29.54296875" style="18" bestFit="1" customWidth="1"/>
    <col min="11" max="11" width="12.54296875" style="18" bestFit="1" customWidth="1"/>
    <col min="12" max="12" width="27.08984375" style="18" bestFit="1" customWidth="1"/>
  </cols>
  <sheetData>
    <row r="3" spans="1:12" ht="52.5" customHeight="1" x14ac:dyDescent="0.35">
      <c r="A3" s="28"/>
      <c r="B3" s="28"/>
      <c r="C3" s="33"/>
      <c r="D3" s="29" t="s">
        <v>68</v>
      </c>
      <c r="E3" s="53" t="s">
        <v>69</v>
      </c>
      <c r="F3" s="55"/>
      <c r="G3" s="53" t="s">
        <v>70</v>
      </c>
      <c r="H3" s="55"/>
      <c r="I3" s="53" t="s">
        <v>71</v>
      </c>
      <c r="J3" s="54"/>
      <c r="K3" s="54"/>
      <c r="L3" s="30"/>
    </row>
    <row r="4" spans="1:12" s="18" customFormat="1" x14ac:dyDescent="0.35">
      <c r="A4" s="32" t="s">
        <v>38</v>
      </c>
      <c r="B4" s="32" t="s">
        <v>62</v>
      </c>
      <c r="C4" s="33" t="s">
        <v>73</v>
      </c>
      <c r="D4" s="40" t="s">
        <v>10</v>
      </c>
      <c r="E4" s="40" t="s">
        <v>11</v>
      </c>
      <c r="F4" s="40" t="s">
        <v>12</v>
      </c>
      <c r="G4" s="40" t="s">
        <v>13</v>
      </c>
      <c r="H4" s="40" t="s">
        <v>14</v>
      </c>
      <c r="I4" s="40" t="s">
        <v>15</v>
      </c>
      <c r="J4" s="40" t="s">
        <v>16</v>
      </c>
      <c r="K4" s="40" t="s">
        <v>17</v>
      </c>
      <c r="L4" s="31" t="s">
        <v>72</v>
      </c>
    </row>
    <row r="5" spans="1:12" x14ac:dyDescent="0.35">
      <c r="A5" s="18" t="s">
        <v>127</v>
      </c>
      <c r="B5" s="18" t="s">
        <v>128</v>
      </c>
      <c r="C5" s="25" t="s">
        <v>0</v>
      </c>
      <c r="D5" s="25" t="s">
        <v>18</v>
      </c>
      <c r="E5" s="25" t="s">
        <v>21</v>
      </c>
      <c r="F5" s="25" t="s">
        <v>21</v>
      </c>
      <c r="G5" s="25" t="s">
        <v>20</v>
      </c>
      <c r="H5" s="25" t="s">
        <v>22</v>
      </c>
      <c r="I5" s="25" t="s">
        <v>22</v>
      </c>
      <c r="J5" s="25" t="s">
        <v>22</v>
      </c>
      <c r="K5" s="25" t="s">
        <v>19</v>
      </c>
      <c r="L5" s="25" t="s">
        <v>22</v>
      </c>
    </row>
    <row r="6" spans="1:12" x14ac:dyDescent="0.35">
      <c r="A6" s="18" t="s">
        <v>130</v>
      </c>
      <c r="B6" s="18" t="s">
        <v>131</v>
      </c>
      <c r="C6" s="25" t="s">
        <v>0</v>
      </c>
      <c r="D6" s="25" t="s">
        <v>22</v>
      </c>
      <c r="E6" s="25" t="s">
        <v>22</v>
      </c>
      <c r="F6" s="25" t="s">
        <v>20</v>
      </c>
      <c r="G6" s="25" t="s">
        <v>21</v>
      </c>
      <c r="H6" s="25" t="s">
        <v>22</v>
      </c>
      <c r="I6" s="25" t="s">
        <v>20</v>
      </c>
      <c r="J6" s="25" t="s">
        <v>19</v>
      </c>
      <c r="K6" s="25" t="s">
        <v>19</v>
      </c>
      <c r="L6" s="25" t="s">
        <v>22</v>
      </c>
    </row>
    <row r="7" spans="1:12" x14ac:dyDescent="0.35">
      <c r="A7" s="18" t="s">
        <v>133</v>
      </c>
      <c r="B7" s="18" t="s">
        <v>134</v>
      </c>
      <c r="C7" s="25" t="s">
        <v>0</v>
      </c>
      <c r="D7" s="25" t="s">
        <v>21</v>
      </c>
      <c r="E7" s="25" t="s">
        <v>21</v>
      </c>
      <c r="F7" s="25" t="s">
        <v>22</v>
      </c>
      <c r="G7" s="25" t="s">
        <v>20</v>
      </c>
      <c r="H7" s="25" t="s">
        <v>21</v>
      </c>
      <c r="I7" s="25" t="s">
        <v>20</v>
      </c>
      <c r="J7" s="25" t="s">
        <v>22</v>
      </c>
      <c r="K7" s="25" t="s">
        <v>19</v>
      </c>
      <c r="L7" s="25" t="s">
        <v>20</v>
      </c>
    </row>
    <row r="8" spans="1:12" x14ac:dyDescent="0.35">
      <c r="A8" s="18" t="s">
        <v>135</v>
      </c>
      <c r="B8" s="18" t="s">
        <v>136</v>
      </c>
      <c r="C8" s="25" t="s">
        <v>0</v>
      </c>
      <c r="D8" s="25" t="s">
        <v>21</v>
      </c>
      <c r="E8" s="25" t="s">
        <v>21</v>
      </c>
      <c r="F8" s="25" t="s">
        <v>22</v>
      </c>
      <c r="G8" s="25" t="s">
        <v>22</v>
      </c>
      <c r="H8" s="25" t="s">
        <v>22</v>
      </c>
      <c r="I8" s="25" t="s">
        <v>18</v>
      </c>
      <c r="J8" s="25" t="s">
        <v>19</v>
      </c>
      <c r="K8" s="25" t="s">
        <v>19</v>
      </c>
      <c r="L8" s="25" t="s">
        <v>22</v>
      </c>
    </row>
    <row r="9" spans="1:12" x14ac:dyDescent="0.35">
      <c r="A9" s="18" t="s">
        <v>138</v>
      </c>
      <c r="B9" s="18" t="s">
        <v>139</v>
      </c>
      <c r="C9" s="25" t="s">
        <v>0</v>
      </c>
      <c r="D9" s="25" t="s">
        <v>20</v>
      </c>
      <c r="E9" s="25" t="s">
        <v>20</v>
      </c>
      <c r="F9" s="25" t="s">
        <v>20</v>
      </c>
      <c r="G9" s="25" t="s">
        <v>20</v>
      </c>
      <c r="H9" s="25" t="s">
        <v>22</v>
      </c>
      <c r="I9" s="25" t="s">
        <v>22</v>
      </c>
      <c r="J9" s="25" t="s">
        <v>19</v>
      </c>
      <c r="K9" s="25" t="s">
        <v>19</v>
      </c>
      <c r="L9" s="25" t="s">
        <v>22</v>
      </c>
    </row>
    <row r="10" spans="1:12" x14ac:dyDescent="0.35">
      <c r="A10" s="18" t="s">
        <v>140</v>
      </c>
      <c r="B10" s="18" t="s">
        <v>141</v>
      </c>
      <c r="C10" s="25" t="s">
        <v>0</v>
      </c>
      <c r="D10" s="25" t="s">
        <v>22</v>
      </c>
      <c r="E10" s="25" t="s">
        <v>22</v>
      </c>
      <c r="F10" s="25" t="s">
        <v>20</v>
      </c>
      <c r="G10" s="25" t="s">
        <v>20</v>
      </c>
      <c r="H10" s="25" t="s">
        <v>20</v>
      </c>
      <c r="I10" s="25" t="s">
        <v>22</v>
      </c>
      <c r="J10" s="25" t="s">
        <v>18</v>
      </c>
      <c r="K10" s="25" t="s">
        <v>19</v>
      </c>
      <c r="L10" s="25" t="s">
        <v>22</v>
      </c>
    </row>
    <row r="11" spans="1:12" x14ac:dyDescent="0.35">
      <c r="A11" s="18" t="s">
        <v>142</v>
      </c>
      <c r="B11" s="18" t="s">
        <v>143</v>
      </c>
      <c r="C11" s="25" t="s">
        <v>0</v>
      </c>
      <c r="D11" s="25" t="s">
        <v>20</v>
      </c>
      <c r="E11" s="25" t="s">
        <v>21</v>
      </c>
      <c r="F11" s="25" t="s">
        <v>22</v>
      </c>
      <c r="G11" s="25" t="s">
        <v>21</v>
      </c>
      <c r="H11" s="25" t="s">
        <v>21</v>
      </c>
      <c r="I11" s="25" t="s">
        <v>22</v>
      </c>
      <c r="J11" s="25" t="s">
        <v>19</v>
      </c>
      <c r="K11" s="25" t="s">
        <v>19</v>
      </c>
      <c r="L11" s="25" t="s">
        <v>20</v>
      </c>
    </row>
    <row r="12" spans="1:12" x14ac:dyDescent="0.35">
      <c r="A12" s="18" t="s">
        <v>144</v>
      </c>
      <c r="B12" s="18" t="s">
        <v>145</v>
      </c>
      <c r="C12" s="25" t="s">
        <v>0</v>
      </c>
      <c r="D12" s="25" t="s">
        <v>22</v>
      </c>
      <c r="E12" s="25" t="s">
        <v>20</v>
      </c>
      <c r="F12" s="25" t="s">
        <v>20</v>
      </c>
      <c r="G12" s="25" t="s">
        <v>22</v>
      </c>
      <c r="H12" s="25" t="s">
        <v>19</v>
      </c>
      <c r="I12" s="25" t="s">
        <v>20</v>
      </c>
      <c r="J12" s="25" t="s">
        <v>19</v>
      </c>
      <c r="K12" s="25" t="s">
        <v>19</v>
      </c>
      <c r="L12" s="25" t="s">
        <v>22</v>
      </c>
    </row>
    <row r="13" spans="1:12" x14ac:dyDescent="0.35">
      <c r="A13" s="18" t="s">
        <v>146</v>
      </c>
      <c r="B13" s="18" t="s">
        <v>147</v>
      </c>
      <c r="C13" s="25" t="s">
        <v>0</v>
      </c>
      <c r="D13" s="25" t="s">
        <v>22</v>
      </c>
      <c r="E13" s="25" t="s">
        <v>22</v>
      </c>
      <c r="F13" s="25" t="s">
        <v>18</v>
      </c>
      <c r="G13" s="25" t="s">
        <v>18</v>
      </c>
      <c r="H13" s="25" t="s">
        <v>22</v>
      </c>
      <c r="I13" s="25" t="s">
        <v>18</v>
      </c>
      <c r="J13" s="25" t="s">
        <v>19</v>
      </c>
      <c r="K13" s="25" t="s">
        <v>18</v>
      </c>
      <c r="L13" s="25" t="s">
        <v>22</v>
      </c>
    </row>
    <row r="14" spans="1:12" x14ac:dyDescent="0.35"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5" spans="1:12" x14ac:dyDescent="0.35">
      <c r="C15" s="25"/>
      <c r="D15" s="25"/>
      <c r="E15" s="25"/>
      <c r="F15" s="25"/>
      <c r="G15" s="25"/>
      <c r="H15" s="25"/>
      <c r="I15" s="25"/>
      <c r="J15" s="25"/>
      <c r="K15" s="25"/>
      <c r="L15" s="25"/>
    </row>
    <row r="16" spans="1:12" x14ac:dyDescent="0.35"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3:12" x14ac:dyDescent="0.35">
      <c r="C17" s="25"/>
      <c r="D17" s="25"/>
      <c r="E17" s="25"/>
      <c r="F17" s="25"/>
      <c r="G17" s="25"/>
      <c r="H17" s="25"/>
      <c r="I17" s="25"/>
      <c r="J17" s="25"/>
      <c r="K17" s="25"/>
      <c r="L17" s="25"/>
    </row>
    <row r="18" spans="3:12" x14ac:dyDescent="0.35">
      <c r="C18" s="25"/>
      <c r="D18" s="25"/>
      <c r="E18" s="25"/>
      <c r="F18" s="25"/>
      <c r="G18" s="25"/>
      <c r="H18" s="25"/>
      <c r="I18" s="25"/>
      <c r="J18" s="25"/>
      <c r="K18" s="25"/>
      <c r="L18" s="25"/>
    </row>
    <row r="19" spans="3:12" x14ac:dyDescent="0.35">
      <c r="C19" s="25"/>
      <c r="D19" s="25"/>
      <c r="E19" s="25"/>
      <c r="F19" s="25"/>
      <c r="G19" s="25"/>
      <c r="H19" s="25"/>
      <c r="I19" s="25"/>
      <c r="J19" s="25"/>
      <c r="K19" s="25"/>
      <c r="L19" s="25"/>
    </row>
    <row r="20" spans="3:12" x14ac:dyDescent="0.35"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3:12" x14ac:dyDescent="0.35">
      <c r="C21" s="25"/>
      <c r="D21" s="25"/>
      <c r="E21" s="25"/>
      <c r="F21" s="25"/>
      <c r="G21" s="25"/>
      <c r="H21" s="25"/>
      <c r="I21" s="25"/>
      <c r="J21" s="25"/>
      <c r="K21" s="25"/>
      <c r="L21" s="25"/>
    </row>
    <row r="22" spans="3:12" x14ac:dyDescent="0.35">
      <c r="C22" s="25"/>
      <c r="D22" s="25"/>
      <c r="E22" s="25"/>
      <c r="F22" s="25"/>
      <c r="G22" s="25"/>
      <c r="H22" s="25"/>
      <c r="I22" s="25"/>
      <c r="J22" s="25"/>
      <c r="K22" s="25"/>
      <c r="L22" s="25"/>
    </row>
    <row r="23" spans="3:12" x14ac:dyDescent="0.35">
      <c r="C23" s="25"/>
      <c r="D23" s="25"/>
      <c r="E23" s="25"/>
      <c r="F23" s="25"/>
      <c r="G23" s="25"/>
      <c r="H23" s="25"/>
      <c r="I23" s="25"/>
      <c r="J23" s="25"/>
      <c r="K23" s="25"/>
      <c r="L23" s="25"/>
    </row>
    <row r="24" spans="3:12" x14ac:dyDescent="0.35">
      <c r="C24" s="25"/>
      <c r="D24" s="25"/>
      <c r="E24" s="25"/>
      <c r="F24" s="25"/>
      <c r="G24" s="25"/>
      <c r="H24" s="25"/>
      <c r="I24" s="25"/>
      <c r="J24" s="25"/>
      <c r="K24" s="25"/>
      <c r="L24" s="25"/>
    </row>
    <row r="25" spans="3:12" x14ac:dyDescent="0.35">
      <c r="C25" s="25"/>
      <c r="D25" s="25"/>
      <c r="E25" s="25"/>
      <c r="F25" s="25"/>
      <c r="G25" s="25"/>
      <c r="H25" s="25"/>
      <c r="I25" s="25"/>
      <c r="J25" s="25"/>
      <c r="K25" s="25"/>
      <c r="L25" s="25"/>
    </row>
    <row r="26" spans="3:12" x14ac:dyDescent="0.35">
      <c r="C26" s="25"/>
      <c r="D26" s="25"/>
      <c r="E26" s="25"/>
      <c r="F26" s="25"/>
      <c r="G26" s="25"/>
      <c r="H26" s="25"/>
      <c r="I26" s="25"/>
      <c r="J26" s="25"/>
      <c r="K26" s="25"/>
      <c r="L26" s="25"/>
    </row>
    <row r="27" spans="3:12" x14ac:dyDescent="0.35">
      <c r="C27" s="25"/>
      <c r="D27" s="25"/>
      <c r="E27" s="25"/>
      <c r="F27" s="25"/>
      <c r="G27" s="25"/>
      <c r="H27" s="25"/>
      <c r="I27" s="25"/>
      <c r="J27" s="25"/>
      <c r="K27" s="25"/>
      <c r="L27" s="25"/>
    </row>
    <row r="28" spans="3:12" x14ac:dyDescent="0.35">
      <c r="C28" s="25"/>
      <c r="D28" s="25"/>
      <c r="E28" s="25"/>
      <c r="F28" s="25"/>
      <c r="G28" s="25"/>
      <c r="H28" s="25"/>
      <c r="I28" s="25"/>
      <c r="J28" s="25"/>
      <c r="K28" s="25"/>
      <c r="L28" s="25"/>
    </row>
    <row r="29" spans="3:12" x14ac:dyDescent="0.35">
      <c r="C29" s="25"/>
      <c r="D29" s="25"/>
      <c r="E29" s="25"/>
      <c r="F29" s="25"/>
      <c r="G29" s="25"/>
      <c r="H29" s="25"/>
      <c r="I29" s="25"/>
      <c r="J29" s="25"/>
      <c r="K29" s="25"/>
      <c r="L29" s="25"/>
    </row>
    <row r="30" spans="3:12" x14ac:dyDescent="0.35">
      <c r="C30" s="25"/>
      <c r="D30" s="25"/>
      <c r="E30" s="25"/>
      <c r="F30" s="25"/>
      <c r="G30" s="25"/>
      <c r="H30" s="25"/>
      <c r="I30" s="25"/>
      <c r="J30" s="25"/>
      <c r="K30" s="25"/>
      <c r="L30" s="25"/>
    </row>
    <row r="31" spans="3:12" x14ac:dyDescent="0.35">
      <c r="C31" s="25"/>
      <c r="D31" s="25"/>
      <c r="E31" s="25"/>
      <c r="F31" s="25"/>
      <c r="G31" s="25"/>
      <c r="H31" s="25"/>
      <c r="I31" s="25"/>
      <c r="J31" s="25"/>
      <c r="K31" s="25"/>
      <c r="L31" s="25"/>
    </row>
    <row r="32" spans="3:12" x14ac:dyDescent="0.35">
      <c r="C32" s="25"/>
      <c r="D32" s="25"/>
      <c r="E32" s="25"/>
      <c r="F32" s="25"/>
      <c r="G32" s="25"/>
      <c r="H32" s="25"/>
      <c r="I32" s="25"/>
      <c r="J32" s="25"/>
      <c r="K32" s="25"/>
      <c r="L32" s="25"/>
    </row>
    <row r="33" spans="3:12" x14ac:dyDescent="0.35">
      <c r="C33" s="25"/>
      <c r="D33" s="25"/>
      <c r="E33" s="25"/>
      <c r="F33" s="25"/>
      <c r="G33" s="25"/>
      <c r="H33" s="25"/>
      <c r="I33" s="25"/>
      <c r="J33" s="25"/>
      <c r="K33" s="25"/>
      <c r="L33" s="25"/>
    </row>
    <row r="34" spans="3:12" x14ac:dyDescent="0.35">
      <c r="C34" s="25"/>
      <c r="D34" s="25"/>
      <c r="E34" s="25"/>
      <c r="F34" s="25"/>
      <c r="G34" s="25"/>
      <c r="H34" s="25"/>
      <c r="I34" s="25"/>
      <c r="J34" s="25"/>
      <c r="K34" s="25"/>
      <c r="L34" s="25"/>
    </row>
    <row r="35" spans="3:12" x14ac:dyDescent="0.35">
      <c r="C35" s="25"/>
      <c r="D35" s="25"/>
      <c r="E35" s="25"/>
      <c r="F35" s="25"/>
      <c r="G35" s="25"/>
      <c r="H35" s="25"/>
      <c r="I35" s="25"/>
      <c r="J35" s="25"/>
      <c r="K35" s="25"/>
      <c r="L35" s="25"/>
    </row>
    <row r="36" spans="3:12" x14ac:dyDescent="0.35">
      <c r="C36" s="25"/>
      <c r="D36" s="25"/>
      <c r="E36" s="25"/>
      <c r="F36" s="25"/>
      <c r="G36" s="25"/>
      <c r="H36" s="25"/>
      <c r="I36" s="25"/>
      <c r="J36" s="25"/>
      <c r="K36" s="25"/>
      <c r="L36" s="25"/>
    </row>
    <row r="37" spans="3:12" x14ac:dyDescent="0.35">
      <c r="C37" s="25"/>
      <c r="D37" s="25"/>
      <c r="E37" s="25"/>
      <c r="F37" s="25"/>
      <c r="G37" s="25"/>
      <c r="H37" s="25"/>
      <c r="I37" s="25"/>
      <c r="J37" s="25"/>
      <c r="K37" s="25"/>
      <c r="L37" s="25"/>
    </row>
    <row r="38" spans="3:12" x14ac:dyDescent="0.35">
      <c r="C38" s="25"/>
      <c r="D38" s="25"/>
      <c r="E38" s="25"/>
      <c r="F38" s="25"/>
      <c r="G38" s="25"/>
      <c r="H38" s="25"/>
      <c r="I38" s="25"/>
      <c r="J38" s="25"/>
      <c r="K38" s="25"/>
      <c r="L38" s="25"/>
    </row>
    <row r="39" spans="3:12" x14ac:dyDescent="0.35">
      <c r="C39" s="25"/>
      <c r="D39" s="25"/>
      <c r="E39" s="25"/>
      <c r="F39" s="25"/>
      <c r="G39" s="25"/>
      <c r="H39" s="25"/>
      <c r="I39" s="25"/>
      <c r="J39" s="25"/>
      <c r="K39" s="25"/>
      <c r="L39" s="25"/>
    </row>
    <row r="40" spans="3:12" x14ac:dyDescent="0.35">
      <c r="C40" s="25"/>
      <c r="D40" s="25"/>
      <c r="E40" s="25"/>
      <c r="F40" s="25"/>
      <c r="G40" s="25"/>
      <c r="H40" s="25"/>
      <c r="I40" s="25"/>
      <c r="J40" s="25"/>
      <c r="K40" s="25"/>
      <c r="L40" s="25"/>
    </row>
    <row r="41" spans="3:12" x14ac:dyDescent="0.35">
      <c r="C41" s="25"/>
      <c r="D41" s="25"/>
      <c r="E41" s="25"/>
      <c r="F41" s="25"/>
      <c r="G41" s="25"/>
      <c r="H41" s="25"/>
      <c r="I41" s="25"/>
      <c r="J41" s="25"/>
      <c r="K41" s="25"/>
      <c r="L41" s="25"/>
    </row>
    <row r="42" spans="3:12" x14ac:dyDescent="0.35">
      <c r="C42" s="25"/>
      <c r="D42" s="25"/>
      <c r="E42" s="25"/>
      <c r="F42" s="25"/>
      <c r="G42" s="25"/>
      <c r="H42" s="25"/>
      <c r="I42" s="25"/>
      <c r="J42" s="25"/>
      <c r="K42" s="25"/>
      <c r="L42" s="25"/>
    </row>
    <row r="43" spans="3:12" x14ac:dyDescent="0.35">
      <c r="C43" s="25"/>
      <c r="D43" s="25"/>
      <c r="E43" s="25"/>
      <c r="F43" s="25"/>
      <c r="G43" s="25"/>
      <c r="H43" s="25"/>
      <c r="I43" s="25"/>
      <c r="J43" s="25"/>
      <c r="K43" s="25"/>
      <c r="L43" s="25"/>
    </row>
    <row r="44" spans="3:12" x14ac:dyDescent="0.35">
      <c r="C44" s="25"/>
      <c r="D44" s="25"/>
      <c r="E44" s="25"/>
      <c r="F44" s="25"/>
      <c r="G44" s="25"/>
      <c r="H44" s="25"/>
      <c r="I44" s="25"/>
      <c r="J44" s="25"/>
      <c r="K44" s="25"/>
      <c r="L44" s="25"/>
    </row>
    <row r="45" spans="3:12" x14ac:dyDescent="0.35">
      <c r="C45" s="25"/>
      <c r="D45" s="25"/>
      <c r="E45" s="25"/>
      <c r="F45" s="25"/>
      <c r="G45" s="25"/>
      <c r="H45" s="25"/>
      <c r="I45" s="25"/>
      <c r="J45" s="25"/>
      <c r="K45" s="25"/>
      <c r="L45" s="25"/>
    </row>
    <row r="46" spans="3:12" x14ac:dyDescent="0.35">
      <c r="C46" s="25"/>
      <c r="D46" s="25"/>
      <c r="E46" s="25"/>
      <c r="F46" s="25"/>
      <c r="G46" s="25"/>
      <c r="H46" s="25"/>
      <c r="I46" s="25"/>
      <c r="J46" s="25"/>
      <c r="K46" s="25"/>
      <c r="L46" s="25"/>
    </row>
    <row r="47" spans="3:12" x14ac:dyDescent="0.35">
      <c r="C47" s="25"/>
      <c r="D47" s="25"/>
      <c r="E47" s="25"/>
      <c r="F47" s="25"/>
      <c r="G47" s="25"/>
      <c r="H47" s="25"/>
      <c r="I47" s="25"/>
      <c r="J47" s="25"/>
      <c r="K47" s="25"/>
      <c r="L47" s="25"/>
    </row>
    <row r="48" spans="3:12" x14ac:dyDescent="0.35">
      <c r="C48" s="25"/>
      <c r="D48" s="25"/>
      <c r="E48" s="25"/>
      <c r="F48" s="25"/>
      <c r="G48" s="25"/>
      <c r="H48" s="25"/>
      <c r="I48" s="25"/>
      <c r="J48" s="25"/>
      <c r="K48" s="25"/>
      <c r="L48" s="25"/>
    </row>
    <row r="49" spans="3:12" x14ac:dyDescent="0.35">
      <c r="C49" s="25"/>
      <c r="D49" s="25"/>
      <c r="E49" s="25"/>
      <c r="F49" s="25"/>
      <c r="G49" s="25"/>
      <c r="H49" s="25"/>
      <c r="I49" s="25"/>
      <c r="J49" s="25"/>
      <c r="K49" s="25"/>
      <c r="L49" s="25"/>
    </row>
    <row r="50" spans="3:12" x14ac:dyDescent="0.35">
      <c r="C50" s="25"/>
      <c r="D50" s="25"/>
      <c r="E50" s="25"/>
      <c r="F50" s="25"/>
      <c r="G50" s="25"/>
      <c r="H50" s="25"/>
      <c r="I50" s="25"/>
      <c r="J50" s="25"/>
      <c r="K50" s="25"/>
      <c r="L50" s="25"/>
    </row>
    <row r="51" spans="3:12" x14ac:dyDescent="0.35">
      <c r="C51" s="25"/>
      <c r="D51" s="25"/>
      <c r="E51" s="25"/>
      <c r="F51" s="25"/>
      <c r="G51" s="25"/>
      <c r="H51" s="25"/>
      <c r="I51" s="25"/>
      <c r="J51" s="25"/>
      <c r="K51" s="25"/>
      <c r="L51" s="25"/>
    </row>
    <row r="52" spans="3:12" x14ac:dyDescent="0.35">
      <c r="C52" s="25"/>
      <c r="D52" s="25"/>
      <c r="E52" s="25"/>
      <c r="F52" s="25"/>
      <c r="G52" s="25"/>
      <c r="H52" s="25"/>
      <c r="I52" s="25"/>
      <c r="J52" s="25"/>
      <c r="K52" s="25"/>
      <c r="L52" s="25"/>
    </row>
    <row r="53" spans="3:12" x14ac:dyDescent="0.35">
      <c r="C53" s="25"/>
      <c r="D53" s="25"/>
      <c r="E53" s="25"/>
      <c r="F53" s="25"/>
      <c r="G53" s="25"/>
      <c r="H53" s="25"/>
      <c r="I53" s="25"/>
      <c r="J53" s="25"/>
      <c r="K53" s="25"/>
      <c r="L53" s="25"/>
    </row>
    <row r="54" spans="3:12" x14ac:dyDescent="0.35">
      <c r="C54" s="25"/>
      <c r="D54" s="25"/>
      <c r="E54" s="25"/>
      <c r="F54" s="25"/>
      <c r="G54" s="25"/>
      <c r="H54" s="25"/>
      <c r="I54" s="25"/>
      <c r="J54" s="25"/>
      <c r="K54" s="25"/>
      <c r="L54" s="25"/>
    </row>
    <row r="55" spans="3:12" x14ac:dyDescent="0.35">
      <c r="C55" s="25"/>
      <c r="D55" s="25"/>
      <c r="E55" s="25"/>
      <c r="F55" s="25"/>
      <c r="G55" s="25"/>
      <c r="H55" s="25"/>
      <c r="I55" s="25"/>
      <c r="J55" s="25"/>
      <c r="K55" s="25"/>
      <c r="L55" s="25"/>
    </row>
    <row r="56" spans="3:12" x14ac:dyDescent="0.35">
      <c r="C56" s="25"/>
      <c r="D56" s="25"/>
      <c r="E56" s="25"/>
      <c r="F56" s="25"/>
      <c r="G56" s="25"/>
      <c r="H56" s="25"/>
      <c r="I56" s="25"/>
      <c r="J56" s="25"/>
      <c r="K56" s="25"/>
      <c r="L56" s="25"/>
    </row>
    <row r="57" spans="3:12" x14ac:dyDescent="0.35">
      <c r="C57" s="25"/>
      <c r="D57" s="25"/>
      <c r="E57" s="25"/>
      <c r="F57" s="25"/>
      <c r="G57" s="25"/>
      <c r="H57" s="25"/>
      <c r="I57" s="25"/>
      <c r="J57" s="25"/>
      <c r="K57" s="25"/>
      <c r="L57" s="25"/>
    </row>
    <row r="58" spans="3:12" x14ac:dyDescent="0.35">
      <c r="C58" s="25"/>
      <c r="D58" s="25"/>
      <c r="E58" s="25"/>
      <c r="F58" s="25"/>
      <c r="G58" s="25"/>
      <c r="H58" s="25"/>
      <c r="I58" s="25"/>
      <c r="J58" s="25"/>
      <c r="K58" s="25"/>
      <c r="L58" s="25"/>
    </row>
    <row r="59" spans="3:12" x14ac:dyDescent="0.35">
      <c r="C59" s="25"/>
      <c r="D59" s="25"/>
      <c r="E59" s="25"/>
      <c r="F59" s="25"/>
      <c r="G59" s="25"/>
      <c r="H59" s="25"/>
      <c r="I59" s="25"/>
      <c r="J59" s="25"/>
      <c r="K59" s="25"/>
      <c r="L59" s="25"/>
    </row>
    <row r="60" spans="3:12" x14ac:dyDescent="0.35">
      <c r="C60" s="25"/>
      <c r="D60" s="25"/>
      <c r="E60" s="25"/>
      <c r="F60" s="25"/>
      <c r="G60" s="25"/>
      <c r="H60" s="25"/>
      <c r="I60" s="25"/>
      <c r="J60" s="25"/>
      <c r="K60" s="25"/>
      <c r="L60" s="25"/>
    </row>
    <row r="61" spans="3:12" x14ac:dyDescent="0.35">
      <c r="C61" s="25"/>
      <c r="D61" s="25"/>
      <c r="E61" s="25"/>
      <c r="F61" s="25"/>
      <c r="G61" s="25"/>
      <c r="H61" s="25"/>
      <c r="I61" s="25"/>
      <c r="J61" s="25"/>
      <c r="K61" s="25"/>
      <c r="L61" s="25"/>
    </row>
    <row r="62" spans="3:12" x14ac:dyDescent="0.35">
      <c r="C62" s="25"/>
      <c r="D62" s="25"/>
      <c r="E62" s="25"/>
      <c r="F62" s="25"/>
      <c r="G62" s="25"/>
      <c r="H62" s="25"/>
      <c r="I62" s="25"/>
      <c r="J62" s="25"/>
      <c r="K62" s="25"/>
      <c r="L62" s="25"/>
    </row>
    <row r="63" spans="3:12" x14ac:dyDescent="0.35">
      <c r="C63" s="25"/>
      <c r="D63" s="25"/>
      <c r="E63" s="25"/>
      <c r="F63" s="25"/>
      <c r="G63" s="25"/>
      <c r="H63" s="25"/>
      <c r="I63" s="25"/>
      <c r="J63" s="25"/>
      <c r="K63" s="25"/>
      <c r="L63" s="25"/>
    </row>
    <row r="64" spans="3:12" x14ac:dyDescent="0.35">
      <c r="C64" s="25"/>
      <c r="D64" s="25"/>
      <c r="E64" s="25"/>
      <c r="F64" s="25"/>
      <c r="G64" s="25"/>
      <c r="H64" s="25"/>
      <c r="I64" s="25"/>
      <c r="J64" s="25"/>
      <c r="K64" s="25"/>
      <c r="L64" s="25"/>
    </row>
    <row r="65" spans="3:12" x14ac:dyDescent="0.35">
      <c r="C65" s="25"/>
      <c r="D65" s="25"/>
      <c r="E65" s="25"/>
      <c r="F65" s="25"/>
      <c r="G65" s="25"/>
      <c r="H65" s="25"/>
      <c r="I65" s="25"/>
      <c r="J65" s="25"/>
      <c r="K65" s="25"/>
      <c r="L65" s="25"/>
    </row>
    <row r="66" spans="3:12" x14ac:dyDescent="0.35">
      <c r="C66" s="25"/>
      <c r="D66" s="25"/>
      <c r="E66" s="25"/>
      <c r="F66" s="25"/>
      <c r="G66" s="25"/>
      <c r="H66" s="25"/>
      <c r="I66" s="25"/>
      <c r="J66" s="25"/>
      <c r="K66" s="25"/>
      <c r="L66" s="25"/>
    </row>
    <row r="67" spans="3:12" x14ac:dyDescent="0.35">
      <c r="C67" s="25"/>
      <c r="D67" s="25"/>
      <c r="E67" s="25"/>
      <c r="F67" s="25"/>
      <c r="G67" s="25"/>
      <c r="H67" s="25"/>
      <c r="I67" s="25"/>
      <c r="J67" s="25"/>
      <c r="K67" s="25"/>
      <c r="L67" s="25"/>
    </row>
    <row r="68" spans="3:12" x14ac:dyDescent="0.35">
      <c r="C68" s="25"/>
      <c r="D68" s="25"/>
      <c r="E68" s="25"/>
      <c r="F68" s="25"/>
      <c r="G68" s="25"/>
      <c r="H68" s="25"/>
      <c r="I68" s="25"/>
      <c r="J68" s="25"/>
      <c r="K68" s="25"/>
      <c r="L68" s="25"/>
    </row>
    <row r="69" spans="3:12" x14ac:dyDescent="0.35">
      <c r="C69" s="25"/>
      <c r="D69" s="25"/>
      <c r="E69" s="25"/>
      <c r="F69" s="25"/>
      <c r="G69" s="25"/>
      <c r="H69" s="25"/>
      <c r="I69" s="25"/>
      <c r="J69" s="25"/>
      <c r="K69" s="25"/>
      <c r="L69" s="25"/>
    </row>
    <row r="70" spans="3:12" x14ac:dyDescent="0.35">
      <c r="C70" s="25"/>
      <c r="D70" s="25"/>
      <c r="E70" s="25"/>
      <c r="F70" s="25"/>
      <c r="G70" s="25"/>
      <c r="H70" s="25"/>
      <c r="I70" s="25"/>
      <c r="J70" s="25"/>
      <c r="K70" s="25"/>
      <c r="L70" s="25"/>
    </row>
    <row r="71" spans="3:12" x14ac:dyDescent="0.35">
      <c r="C71" s="25"/>
      <c r="D71" s="25"/>
      <c r="E71" s="25"/>
      <c r="F71" s="25"/>
      <c r="G71" s="25"/>
      <c r="H71" s="25"/>
      <c r="I71" s="25"/>
      <c r="J71" s="25"/>
      <c r="K71" s="25"/>
      <c r="L71" s="25"/>
    </row>
    <row r="72" spans="3:12" x14ac:dyDescent="0.35">
      <c r="C72" s="25"/>
      <c r="D72" s="25"/>
      <c r="E72" s="25"/>
      <c r="F72" s="25"/>
      <c r="G72" s="25"/>
      <c r="H72" s="25"/>
      <c r="I72" s="25"/>
      <c r="J72" s="25"/>
      <c r="K72" s="25"/>
      <c r="L72" s="25"/>
    </row>
    <row r="73" spans="3:12" x14ac:dyDescent="0.35">
      <c r="C73" s="25"/>
      <c r="D73" s="25"/>
      <c r="E73" s="25"/>
      <c r="F73" s="25"/>
      <c r="G73" s="25"/>
      <c r="H73" s="25"/>
      <c r="I73" s="25"/>
      <c r="J73" s="25"/>
      <c r="K73" s="25"/>
      <c r="L73" s="25"/>
    </row>
    <row r="74" spans="3:12" x14ac:dyDescent="0.35">
      <c r="C74" s="25"/>
      <c r="D74" s="25"/>
      <c r="E74" s="25"/>
      <c r="F74" s="25"/>
      <c r="G74" s="25"/>
      <c r="H74" s="25"/>
      <c r="I74" s="25"/>
      <c r="J74" s="25"/>
      <c r="K74" s="25"/>
      <c r="L74" s="25"/>
    </row>
    <row r="75" spans="3:12" x14ac:dyDescent="0.35">
      <c r="C75" s="25"/>
      <c r="D75" s="25"/>
      <c r="E75" s="25"/>
      <c r="F75" s="25"/>
      <c r="G75" s="25"/>
      <c r="H75" s="25"/>
      <c r="I75" s="25"/>
      <c r="J75" s="25"/>
      <c r="K75" s="25"/>
      <c r="L75" s="25"/>
    </row>
    <row r="76" spans="3:12" x14ac:dyDescent="0.35">
      <c r="C76" s="25"/>
      <c r="D76" s="25"/>
      <c r="E76" s="25"/>
      <c r="F76" s="25"/>
      <c r="G76" s="25"/>
      <c r="H76" s="25"/>
      <c r="I76" s="25"/>
      <c r="J76" s="25"/>
      <c r="K76" s="25"/>
      <c r="L76" s="25"/>
    </row>
    <row r="77" spans="3:12" x14ac:dyDescent="0.35">
      <c r="C77" s="25"/>
      <c r="D77" s="25"/>
      <c r="E77" s="25"/>
      <c r="F77" s="25"/>
      <c r="G77" s="25"/>
      <c r="H77" s="25"/>
      <c r="I77" s="25"/>
      <c r="J77" s="25"/>
      <c r="K77" s="25"/>
      <c r="L77" s="25"/>
    </row>
    <row r="78" spans="3:12" x14ac:dyDescent="0.35">
      <c r="C78" s="25"/>
      <c r="D78" s="25"/>
      <c r="E78" s="25"/>
      <c r="F78" s="25"/>
      <c r="G78" s="25"/>
      <c r="H78" s="25"/>
      <c r="I78" s="25"/>
      <c r="J78" s="25"/>
      <c r="K78" s="25"/>
      <c r="L78" s="25"/>
    </row>
    <row r="79" spans="3:12" x14ac:dyDescent="0.35">
      <c r="C79" s="25"/>
      <c r="D79" s="25"/>
      <c r="E79" s="25"/>
      <c r="F79" s="25"/>
      <c r="G79" s="25"/>
      <c r="H79" s="25"/>
      <c r="I79" s="25"/>
      <c r="J79" s="25"/>
      <c r="K79" s="25"/>
      <c r="L79" s="25"/>
    </row>
    <row r="80" spans="3:12" x14ac:dyDescent="0.35">
      <c r="C80" s="25"/>
      <c r="D80" s="25"/>
      <c r="E80" s="25"/>
      <c r="F80" s="25"/>
      <c r="G80" s="25"/>
      <c r="H80" s="25"/>
      <c r="I80" s="25"/>
      <c r="J80" s="25"/>
      <c r="K80" s="25"/>
      <c r="L80" s="25"/>
    </row>
    <row r="81" spans="3:12" x14ac:dyDescent="0.35">
      <c r="C81" s="25"/>
      <c r="D81" s="25"/>
      <c r="E81" s="25"/>
      <c r="F81" s="25"/>
      <c r="G81" s="25"/>
      <c r="H81" s="25"/>
      <c r="I81" s="25"/>
      <c r="J81" s="25"/>
      <c r="K81" s="25"/>
      <c r="L81" s="25"/>
    </row>
    <row r="82" spans="3:12" x14ac:dyDescent="0.35">
      <c r="C82" s="25"/>
      <c r="D82" s="25"/>
      <c r="E82" s="25"/>
      <c r="F82" s="25"/>
      <c r="G82" s="25"/>
      <c r="H82" s="25"/>
      <c r="I82" s="25"/>
      <c r="J82" s="25"/>
      <c r="K82" s="25"/>
      <c r="L82" s="25"/>
    </row>
    <row r="83" spans="3:12" x14ac:dyDescent="0.35">
      <c r="C83" s="25"/>
      <c r="D83" s="25"/>
      <c r="E83" s="25"/>
      <c r="F83" s="25"/>
      <c r="G83" s="25"/>
      <c r="H83" s="25"/>
      <c r="I83" s="25"/>
      <c r="J83" s="25"/>
      <c r="K83" s="25"/>
      <c r="L83" s="25"/>
    </row>
    <row r="84" spans="3:12" x14ac:dyDescent="0.35">
      <c r="C84" s="25"/>
      <c r="D84" s="25"/>
      <c r="E84" s="25"/>
      <c r="F84" s="25"/>
      <c r="G84" s="25"/>
      <c r="H84" s="25"/>
      <c r="I84" s="25"/>
      <c r="J84" s="25"/>
      <c r="K84" s="25"/>
      <c r="L84" s="25"/>
    </row>
    <row r="85" spans="3:12" x14ac:dyDescent="0.35">
      <c r="C85" s="25"/>
      <c r="D85" s="25"/>
      <c r="E85" s="25"/>
      <c r="F85" s="25"/>
      <c r="G85" s="25"/>
      <c r="H85" s="25"/>
      <c r="I85" s="25"/>
      <c r="J85" s="25"/>
      <c r="K85" s="25"/>
      <c r="L85" s="25"/>
    </row>
    <row r="86" spans="3:12" x14ac:dyDescent="0.35">
      <c r="C86" s="25"/>
      <c r="D86" s="25"/>
      <c r="E86" s="25"/>
      <c r="F86" s="25"/>
      <c r="G86" s="25"/>
      <c r="H86" s="25"/>
      <c r="I86" s="25"/>
      <c r="J86" s="25"/>
      <c r="K86" s="25"/>
      <c r="L86" s="25"/>
    </row>
    <row r="87" spans="3:12" x14ac:dyDescent="0.35">
      <c r="C87" s="25"/>
      <c r="D87" s="25"/>
      <c r="E87" s="25"/>
      <c r="F87" s="25"/>
      <c r="G87" s="25"/>
      <c r="H87" s="25"/>
      <c r="I87" s="25"/>
      <c r="J87" s="25"/>
      <c r="K87" s="25"/>
      <c r="L87" s="25"/>
    </row>
    <row r="88" spans="3:12" x14ac:dyDescent="0.35">
      <c r="C88" s="25"/>
      <c r="D88" s="25"/>
      <c r="E88" s="25"/>
      <c r="F88" s="25"/>
      <c r="G88" s="25"/>
      <c r="H88" s="25"/>
      <c r="I88" s="25"/>
      <c r="J88" s="25"/>
      <c r="K88" s="25"/>
      <c r="L88" s="25"/>
    </row>
    <row r="89" spans="3:12" x14ac:dyDescent="0.35">
      <c r="C89" s="25"/>
      <c r="D89" s="25"/>
      <c r="E89" s="25"/>
      <c r="F89" s="25"/>
      <c r="G89" s="25"/>
      <c r="H89" s="25"/>
      <c r="I89" s="25"/>
      <c r="J89" s="25"/>
      <c r="K89" s="25"/>
      <c r="L89" s="25"/>
    </row>
    <row r="90" spans="3:12" x14ac:dyDescent="0.35">
      <c r="C90" s="25"/>
      <c r="D90" s="25"/>
      <c r="E90" s="25"/>
      <c r="F90" s="25"/>
      <c r="G90" s="25"/>
      <c r="H90" s="25"/>
      <c r="I90" s="25"/>
      <c r="J90" s="25"/>
      <c r="K90" s="25"/>
      <c r="L90" s="25"/>
    </row>
    <row r="91" spans="3:12" x14ac:dyDescent="0.35">
      <c r="C91" s="25"/>
      <c r="D91" s="25"/>
      <c r="E91" s="25"/>
      <c r="F91" s="25"/>
      <c r="G91" s="25"/>
      <c r="H91" s="25"/>
      <c r="I91" s="25"/>
      <c r="J91" s="25"/>
      <c r="K91" s="25"/>
      <c r="L91" s="25"/>
    </row>
    <row r="92" spans="3:12" x14ac:dyDescent="0.35">
      <c r="C92" s="25"/>
      <c r="D92" s="25"/>
      <c r="E92" s="25"/>
      <c r="F92" s="25"/>
      <c r="G92" s="25"/>
      <c r="H92" s="25"/>
      <c r="I92" s="25"/>
      <c r="J92" s="25"/>
      <c r="K92" s="25"/>
      <c r="L92" s="25"/>
    </row>
    <row r="93" spans="3:12" x14ac:dyDescent="0.35">
      <c r="C93" s="25"/>
      <c r="D93" s="25"/>
      <c r="E93" s="25"/>
      <c r="F93" s="25"/>
      <c r="G93" s="25"/>
      <c r="H93" s="25"/>
      <c r="I93" s="25"/>
      <c r="J93" s="25"/>
      <c r="K93" s="25"/>
      <c r="L93" s="25"/>
    </row>
    <row r="94" spans="3:12" x14ac:dyDescent="0.35">
      <c r="C94" s="25"/>
      <c r="D94" s="25"/>
      <c r="E94" s="25"/>
      <c r="F94" s="25"/>
      <c r="G94" s="25"/>
      <c r="H94" s="25"/>
      <c r="I94" s="25"/>
      <c r="J94" s="25"/>
      <c r="K94" s="25"/>
      <c r="L94" s="25"/>
    </row>
    <row r="95" spans="3:12" x14ac:dyDescent="0.35">
      <c r="C95" s="25"/>
      <c r="D95" s="25"/>
      <c r="E95" s="25"/>
      <c r="F95" s="25"/>
      <c r="G95" s="25"/>
      <c r="H95" s="25"/>
      <c r="I95" s="25"/>
      <c r="J95" s="25"/>
      <c r="K95" s="25"/>
      <c r="L95" s="25"/>
    </row>
    <row r="96" spans="3:12" x14ac:dyDescent="0.35">
      <c r="C96" s="25"/>
      <c r="D96" s="25"/>
      <c r="E96" s="25"/>
      <c r="F96" s="25"/>
      <c r="G96" s="25"/>
      <c r="H96" s="25"/>
      <c r="I96" s="25"/>
      <c r="J96" s="25"/>
      <c r="K96" s="25"/>
      <c r="L96" s="25"/>
    </row>
    <row r="97" spans="3:12" x14ac:dyDescent="0.35">
      <c r="C97" s="25"/>
      <c r="D97" s="25"/>
      <c r="E97" s="25"/>
      <c r="F97" s="25"/>
      <c r="G97" s="25"/>
      <c r="H97" s="25"/>
      <c r="I97" s="25"/>
      <c r="J97" s="25"/>
      <c r="K97" s="25"/>
      <c r="L97" s="25"/>
    </row>
    <row r="98" spans="3:12" x14ac:dyDescent="0.35">
      <c r="C98" s="25"/>
      <c r="D98" s="25"/>
      <c r="E98" s="25"/>
      <c r="F98" s="25"/>
      <c r="G98" s="25"/>
      <c r="H98" s="25"/>
      <c r="I98" s="25"/>
      <c r="J98" s="25"/>
      <c r="K98" s="25"/>
      <c r="L98" s="25"/>
    </row>
    <row r="99" spans="3:12" x14ac:dyDescent="0.35">
      <c r="C99" s="25"/>
      <c r="D99" s="25"/>
      <c r="E99" s="25"/>
      <c r="F99" s="25"/>
      <c r="G99" s="25"/>
      <c r="H99" s="25"/>
      <c r="I99" s="25"/>
      <c r="J99" s="25"/>
      <c r="K99" s="25"/>
      <c r="L99" s="25"/>
    </row>
    <row r="100" spans="3:12" ht="24" customHeight="1" x14ac:dyDescent="0.35"/>
    <row r="101" spans="3:12" ht="24" customHeight="1" x14ac:dyDescent="0.35"/>
    <row r="102" spans="3:12" ht="24" customHeight="1" x14ac:dyDescent="0.35"/>
    <row r="103" spans="3:12" ht="24" customHeight="1" x14ac:dyDescent="0.35"/>
    <row r="104" spans="3:12" ht="24" customHeight="1" x14ac:dyDescent="0.35"/>
    <row r="105" spans="3:12" ht="24" customHeight="1" x14ac:dyDescent="0.35"/>
    <row r="106" spans="3:12" ht="24" customHeight="1" x14ac:dyDescent="0.35"/>
    <row r="107" spans="3:12" ht="24" customHeight="1" x14ac:dyDescent="0.35"/>
    <row r="108" spans="3:12" ht="24" customHeight="1" x14ac:dyDescent="0.35"/>
    <row r="109" spans="3:12" ht="24" customHeight="1" x14ac:dyDescent="0.35"/>
    <row r="110" spans="3:12" ht="24" customHeight="1" x14ac:dyDescent="0.35"/>
    <row r="111" spans="3:12" ht="24" customHeight="1" x14ac:dyDescent="0.35"/>
    <row r="112" spans="3:12" ht="24" customHeight="1" x14ac:dyDescent="0.35"/>
    <row r="113" ht="24" customHeight="1" x14ac:dyDescent="0.35"/>
    <row r="114" ht="24" customHeight="1" x14ac:dyDescent="0.35"/>
    <row r="115" ht="24" customHeight="1" x14ac:dyDescent="0.35"/>
    <row r="116" ht="24" customHeight="1" x14ac:dyDescent="0.35"/>
    <row r="117" ht="24" customHeight="1" x14ac:dyDescent="0.35"/>
    <row r="118" ht="24" customHeight="1" x14ac:dyDescent="0.35"/>
    <row r="119" ht="24" customHeight="1" x14ac:dyDescent="0.35"/>
    <row r="120" ht="24" customHeight="1" x14ac:dyDescent="0.35"/>
    <row r="121" ht="24" customHeight="1" x14ac:dyDescent="0.35"/>
    <row r="122" ht="24" customHeight="1" x14ac:dyDescent="0.35"/>
    <row r="123" ht="24" customHeight="1" x14ac:dyDescent="0.35"/>
    <row r="124" ht="24" customHeight="1" x14ac:dyDescent="0.35"/>
    <row r="125" ht="24" customHeight="1" x14ac:dyDescent="0.35"/>
    <row r="126" ht="24" customHeight="1" x14ac:dyDescent="0.35"/>
    <row r="127" ht="24" customHeight="1" x14ac:dyDescent="0.35"/>
    <row r="128" ht="24" customHeight="1" x14ac:dyDescent="0.35"/>
    <row r="129" ht="24" customHeight="1" x14ac:dyDescent="0.35"/>
    <row r="130" ht="24" customHeight="1" x14ac:dyDescent="0.35"/>
    <row r="131" ht="24" customHeight="1" x14ac:dyDescent="0.35"/>
    <row r="132" ht="24" customHeight="1" x14ac:dyDescent="0.35"/>
    <row r="133" ht="24" customHeight="1" x14ac:dyDescent="0.35"/>
    <row r="134" ht="24" customHeight="1" x14ac:dyDescent="0.35"/>
    <row r="135" ht="24" customHeight="1" x14ac:dyDescent="0.35"/>
    <row r="136" ht="24" customHeight="1" x14ac:dyDescent="0.35"/>
    <row r="137" ht="24" customHeight="1" x14ac:dyDescent="0.35"/>
    <row r="138" ht="24" customHeight="1" x14ac:dyDescent="0.35"/>
    <row r="139" ht="24" customHeight="1" x14ac:dyDescent="0.35"/>
    <row r="140" ht="24" customHeight="1" x14ac:dyDescent="0.35"/>
    <row r="141" ht="24" customHeight="1" x14ac:dyDescent="0.35"/>
    <row r="142" ht="24" customHeight="1" x14ac:dyDescent="0.35"/>
    <row r="143" ht="24" customHeight="1" x14ac:dyDescent="0.35"/>
    <row r="144" ht="24" customHeight="1" x14ac:dyDescent="0.35"/>
    <row r="145" ht="24" customHeight="1" x14ac:dyDescent="0.35"/>
    <row r="146" ht="24" customHeight="1" x14ac:dyDescent="0.35"/>
    <row r="147" ht="24" customHeight="1" x14ac:dyDescent="0.35"/>
    <row r="148" ht="24" customHeight="1" x14ac:dyDescent="0.35"/>
    <row r="149" ht="24" customHeight="1" x14ac:dyDescent="0.35"/>
    <row r="150" ht="24" customHeight="1" x14ac:dyDescent="0.35"/>
    <row r="151" ht="24" customHeight="1" x14ac:dyDescent="0.35"/>
    <row r="152" ht="24" customHeight="1" x14ac:dyDescent="0.35"/>
    <row r="153" ht="24" customHeight="1" x14ac:dyDescent="0.35"/>
    <row r="154" ht="24" customHeight="1" x14ac:dyDescent="0.35"/>
    <row r="155" ht="24" customHeight="1" x14ac:dyDescent="0.35"/>
    <row r="156" ht="24" customHeight="1" x14ac:dyDescent="0.35"/>
    <row r="157" ht="24" customHeight="1" x14ac:dyDescent="0.35"/>
    <row r="158" ht="24" customHeight="1" x14ac:dyDescent="0.35"/>
    <row r="159" ht="24" customHeight="1" x14ac:dyDescent="0.35"/>
    <row r="160" ht="24" customHeight="1" x14ac:dyDescent="0.35"/>
    <row r="161" ht="24" customHeight="1" x14ac:dyDescent="0.35"/>
    <row r="162" ht="24" customHeight="1" x14ac:dyDescent="0.35"/>
    <row r="163" ht="24" customHeight="1" x14ac:dyDescent="0.35"/>
    <row r="164" ht="24" customHeight="1" x14ac:dyDescent="0.35"/>
    <row r="165" ht="24" customHeight="1" x14ac:dyDescent="0.35"/>
    <row r="166" ht="24" customHeight="1" x14ac:dyDescent="0.35"/>
    <row r="167" ht="24" customHeight="1" x14ac:dyDescent="0.35"/>
    <row r="168" ht="24" customHeight="1" x14ac:dyDescent="0.35"/>
    <row r="169" ht="24" customHeight="1" x14ac:dyDescent="0.35"/>
    <row r="170" ht="24" customHeight="1" x14ac:dyDescent="0.35"/>
    <row r="171" ht="24" customHeight="1" x14ac:dyDescent="0.35"/>
    <row r="172" ht="24" customHeight="1" x14ac:dyDescent="0.35"/>
    <row r="173" ht="24" customHeight="1" x14ac:dyDescent="0.35"/>
    <row r="174" ht="24" customHeight="1" x14ac:dyDescent="0.35"/>
    <row r="175" ht="24" customHeight="1" x14ac:dyDescent="0.35"/>
    <row r="176" ht="24" customHeight="1" x14ac:dyDescent="0.35"/>
    <row r="177" ht="24" customHeight="1" x14ac:dyDescent="0.35"/>
    <row r="178" ht="24" customHeight="1" x14ac:dyDescent="0.35"/>
    <row r="179" ht="24" customHeight="1" x14ac:dyDescent="0.35"/>
    <row r="180" ht="24" customHeight="1" x14ac:dyDescent="0.35"/>
    <row r="181" ht="24" customHeight="1" x14ac:dyDescent="0.35"/>
    <row r="182" ht="24" customHeight="1" x14ac:dyDescent="0.35"/>
    <row r="183" ht="24" customHeight="1" x14ac:dyDescent="0.35"/>
    <row r="184" ht="24" customHeight="1" x14ac:dyDescent="0.35"/>
    <row r="185" ht="24" customHeight="1" x14ac:dyDescent="0.35"/>
    <row r="186" ht="24" customHeight="1" x14ac:dyDescent="0.35"/>
    <row r="187" ht="24" customHeight="1" x14ac:dyDescent="0.35"/>
    <row r="188" ht="24" customHeight="1" x14ac:dyDescent="0.35"/>
    <row r="189" ht="24" customHeight="1" x14ac:dyDescent="0.35"/>
    <row r="190" ht="24" customHeight="1" x14ac:dyDescent="0.35"/>
    <row r="191" ht="24" customHeight="1" x14ac:dyDescent="0.35"/>
    <row r="192" ht="24" customHeight="1" x14ac:dyDescent="0.35"/>
    <row r="193" ht="24" customHeight="1" x14ac:dyDescent="0.35"/>
    <row r="194" ht="24" customHeight="1" x14ac:dyDescent="0.35"/>
    <row r="195" ht="24" customHeight="1" x14ac:dyDescent="0.35"/>
    <row r="196" ht="24" customHeight="1" x14ac:dyDescent="0.35"/>
    <row r="197" ht="24" customHeight="1" x14ac:dyDescent="0.35"/>
    <row r="198" ht="24" customHeight="1" x14ac:dyDescent="0.35"/>
    <row r="199" ht="24" customHeight="1" x14ac:dyDescent="0.35"/>
    <row r="200" ht="24" customHeight="1" x14ac:dyDescent="0.35"/>
    <row r="201" ht="24" customHeight="1" x14ac:dyDescent="0.35"/>
    <row r="202" ht="24" customHeight="1" x14ac:dyDescent="0.35"/>
    <row r="203" ht="24" customHeight="1" x14ac:dyDescent="0.35"/>
    <row r="204" ht="24" customHeight="1" x14ac:dyDescent="0.35"/>
    <row r="205" ht="24" customHeight="1" x14ac:dyDescent="0.35"/>
    <row r="206" ht="24" customHeight="1" x14ac:dyDescent="0.35"/>
    <row r="207" ht="24" customHeight="1" x14ac:dyDescent="0.35"/>
    <row r="208" ht="24" customHeight="1" x14ac:dyDescent="0.35"/>
    <row r="209" ht="24" customHeight="1" x14ac:dyDescent="0.35"/>
    <row r="210" ht="24" customHeight="1" x14ac:dyDescent="0.35"/>
    <row r="211" ht="24" customHeight="1" x14ac:dyDescent="0.35"/>
    <row r="212" ht="24" customHeight="1" x14ac:dyDescent="0.35"/>
    <row r="213" ht="24" customHeight="1" x14ac:dyDescent="0.35"/>
    <row r="214" ht="24" customHeight="1" x14ac:dyDescent="0.35"/>
    <row r="215" ht="24" customHeight="1" x14ac:dyDescent="0.35"/>
    <row r="216" ht="24" customHeight="1" x14ac:dyDescent="0.35"/>
    <row r="217" ht="24" customHeight="1" x14ac:dyDescent="0.35"/>
    <row r="218" ht="24" customHeight="1" x14ac:dyDescent="0.35"/>
    <row r="219" ht="24" customHeight="1" x14ac:dyDescent="0.35"/>
    <row r="220" ht="24" customHeight="1" x14ac:dyDescent="0.35"/>
    <row r="221" ht="24" customHeight="1" x14ac:dyDescent="0.35"/>
    <row r="222" ht="24" customHeight="1" x14ac:dyDescent="0.35"/>
    <row r="223" ht="24" customHeight="1" x14ac:dyDescent="0.35"/>
    <row r="224" ht="24" customHeight="1" x14ac:dyDescent="0.35"/>
    <row r="225" ht="24" customHeight="1" x14ac:dyDescent="0.35"/>
    <row r="226" ht="24" customHeight="1" x14ac:dyDescent="0.35"/>
    <row r="227" ht="24" customHeight="1" x14ac:dyDescent="0.35"/>
    <row r="228" ht="24" customHeight="1" x14ac:dyDescent="0.35"/>
    <row r="229" ht="24" customHeight="1" x14ac:dyDescent="0.35"/>
    <row r="230" ht="24" customHeight="1" x14ac:dyDescent="0.35"/>
    <row r="231" ht="24" customHeight="1" x14ac:dyDescent="0.35"/>
    <row r="232" ht="24" customHeight="1" x14ac:dyDescent="0.35"/>
    <row r="233" ht="24" customHeight="1" x14ac:dyDescent="0.35"/>
    <row r="234" ht="24" customHeight="1" x14ac:dyDescent="0.35"/>
    <row r="235" ht="24" customHeight="1" x14ac:dyDescent="0.35"/>
    <row r="236" ht="24" customHeight="1" x14ac:dyDescent="0.35"/>
    <row r="237" ht="24" customHeight="1" x14ac:dyDescent="0.35"/>
    <row r="238" ht="24" customHeight="1" x14ac:dyDescent="0.35"/>
    <row r="239" ht="24" customHeight="1" x14ac:dyDescent="0.35"/>
    <row r="240" ht="24" customHeight="1" x14ac:dyDescent="0.35"/>
    <row r="241" ht="24" customHeight="1" x14ac:dyDescent="0.35"/>
    <row r="242" ht="24" customHeight="1" x14ac:dyDescent="0.35"/>
    <row r="243" ht="24" customHeight="1" x14ac:dyDescent="0.35"/>
    <row r="244" ht="24" customHeight="1" x14ac:dyDescent="0.35"/>
    <row r="245" ht="24" customHeight="1" x14ac:dyDescent="0.35"/>
    <row r="246" ht="24" customHeight="1" x14ac:dyDescent="0.35"/>
    <row r="247" ht="24" customHeight="1" x14ac:dyDescent="0.35"/>
    <row r="248" ht="24" customHeight="1" x14ac:dyDescent="0.35"/>
    <row r="249" ht="24" customHeight="1" x14ac:dyDescent="0.35"/>
    <row r="250" ht="24" customHeight="1" x14ac:dyDescent="0.35"/>
    <row r="251" ht="24" customHeight="1" x14ac:dyDescent="0.35"/>
    <row r="252" ht="24" customHeight="1" x14ac:dyDescent="0.35"/>
    <row r="253" ht="24" customHeight="1" x14ac:dyDescent="0.35"/>
    <row r="254" ht="24" customHeight="1" x14ac:dyDescent="0.35"/>
    <row r="255" ht="24" customHeight="1" x14ac:dyDescent="0.35"/>
    <row r="256" ht="24" customHeight="1" x14ac:dyDescent="0.35"/>
    <row r="257" ht="24" customHeight="1" x14ac:dyDescent="0.35"/>
    <row r="258" ht="24" customHeight="1" x14ac:dyDescent="0.35"/>
    <row r="259" ht="24" customHeight="1" x14ac:dyDescent="0.35"/>
    <row r="260" ht="24" customHeight="1" x14ac:dyDescent="0.35"/>
    <row r="261" ht="24" customHeight="1" x14ac:dyDescent="0.35"/>
    <row r="262" ht="24" customHeight="1" x14ac:dyDescent="0.35"/>
    <row r="263" ht="24" customHeight="1" x14ac:dyDescent="0.35"/>
    <row r="264" ht="24" customHeight="1" x14ac:dyDescent="0.35"/>
    <row r="265" ht="24" customHeight="1" x14ac:dyDescent="0.35"/>
    <row r="266" ht="24" customHeight="1" x14ac:dyDescent="0.35"/>
    <row r="267" ht="24" customHeight="1" x14ac:dyDescent="0.35"/>
    <row r="268" ht="24" customHeight="1" x14ac:dyDescent="0.35"/>
    <row r="269" ht="24" customHeight="1" x14ac:dyDescent="0.35"/>
    <row r="270" ht="24" customHeight="1" x14ac:dyDescent="0.35"/>
    <row r="271" ht="24" customHeight="1" x14ac:dyDescent="0.35"/>
    <row r="272" ht="24" customHeight="1" x14ac:dyDescent="0.35"/>
    <row r="273" ht="24" customHeight="1" x14ac:dyDescent="0.35"/>
    <row r="274" ht="24" customHeight="1" x14ac:dyDescent="0.35"/>
    <row r="275" ht="24" customHeight="1" x14ac:dyDescent="0.35"/>
    <row r="276" ht="24" customHeight="1" x14ac:dyDescent="0.35"/>
    <row r="277" ht="24" customHeight="1" x14ac:dyDescent="0.35"/>
    <row r="278" ht="24" customHeight="1" x14ac:dyDescent="0.35"/>
    <row r="279" ht="24" customHeight="1" x14ac:dyDescent="0.35"/>
    <row r="280" ht="24" customHeight="1" x14ac:dyDescent="0.35"/>
    <row r="281" ht="24" customHeight="1" x14ac:dyDescent="0.35"/>
    <row r="282" ht="24" customHeight="1" x14ac:dyDescent="0.35"/>
    <row r="283" ht="24" customHeight="1" x14ac:dyDescent="0.35"/>
    <row r="284" ht="24" customHeight="1" x14ac:dyDescent="0.35"/>
    <row r="285" ht="24" customHeight="1" x14ac:dyDescent="0.35"/>
    <row r="286" ht="24" customHeight="1" x14ac:dyDescent="0.35"/>
    <row r="287" ht="24" customHeight="1" x14ac:dyDescent="0.35"/>
    <row r="288" ht="24" customHeight="1" x14ac:dyDescent="0.35"/>
    <row r="289" ht="24" customHeight="1" x14ac:dyDescent="0.35"/>
    <row r="290" ht="24" customHeight="1" x14ac:dyDescent="0.35"/>
    <row r="291" ht="24" customHeight="1" x14ac:dyDescent="0.35"/>
    <row r="292" ht="24" customHeight="1" x14ac:dyDescent="0.35"/>
    <row r="293" ht="24" customHeight="1" x14ac:dyDescent="0.35"/>
    <row r="294" ht="24" customHeight="1" x14ac:dyDescent="0.35"/>
    <row r="295" ht="24" customHeight="1" x14ac:dyDescent="0.35"/>
    <row r="296" ht="24" customHeight="1" x14ac:dyDescent="0.35"/>
    <row r="297" ht="24" customHeight="1" x14ac:dyDescent="0.35"/>
    <row r="298" ht="24" customHeight="1" x14ac:dyDescent="0.35"/>
    <row r="299" ht="24" customHeight="1" x14ac:dyDescent="0.35"/>
    <row r="300" ht="24" customHeight="1" x14ac:dyDescent="0.35"/>
    <row r="301" ht="24" customHeight="1" x14ac:dyDescent="0.35"/>
    <row r="302" ht="24" customHeight="1" x14ac:dyDescent="0.35"/>
    <row r="303" ht="24" customHeight="1" x14ac:dyDescent="0.35"/>
    <row r="304" ht="24" customHeight="1" x14ac:dyDescent="0.35"/>
    <row r="305" ht="24" customHeight="1" x14ac:dyDescent="0.35"/>
    <row r="306" ht="24" customHeight="1" x14ac:dyDescent="0.35"/>
    <row r="307" ht="24" customHeight="1" x14ac:dyDescent="0.35"/>
    <row r="308" ht="24" customHeight="1" x14ac:dyDescent="0.35"/>
    <row r="309" ht="24" customHeight="1" x14ac:dyDescent="0.35"/>
    <row r="310" ht="24" customHeight="1" x14ac:dyDescent="0.35"/>
    <row r="311" ht="24" customHeight="1" x14ac:dyDescent="0.35"/>
    <row r="312" ht="24" customHeight="1" x14ac:dyDescent="0.35"/>
    <row r="313" ht="24" customHeight="1" x14ac:dyDescent="0.35"/>
    <row r="314" ht="24" customHeight="1" x14ac:dyDescent="0.35"/>
    <row r="315" ht="24" customHeight="1" x14ac:dyDescent="0.35"/>
    <row r="316" ht="24" customHeight="1" x14ac:dyDescent="0.35"/>
    <row r="317" ht="24" customHeight="1" x14ac:dyDescent="0.35"/>
    <row r="318" ht="24" customHeight="1" x14ac:dyDescent="0.35"/>
    <row r="319" ht="24" customHeight="1" x14ac:dyDescent="0.35"/>
    <row r="320" ht="24" customHeight="1" x14ac:dyDescent="0.35"/>
    <row r="321" ht="24" customHeight="1" x14ac:dyDescent="0.35"/>
    <row r="322" ht="24" customHeight="1" x14ac:dyDescent="0.35"/>
    <row r="323" ht="24" customHeight="1" x14ac:dyDescent="0.35"/>
    <row r="324" ht="24" customHeight="1" x14ac:dyDescent="0.35"/>
    <row r="325" ht="24" customHeight="1" x14ac:dyDescent="0.35"/>
    <row r="326" ht="24" customHeight="1" x14ac:dyDescent="0.35"/>
    <row r="327" ht="24" customHeight="1" x14ac:dyDescent="0.35"/>
    <row r="328" ht="24" customHeight="1" x14ac:dyDescent="0.35"/>
    <row r="329" ht="24" customHeight="1" x14ac:dyDescent="0.35"/>
    <row r="330" ht="24" customHeight="1" x14ac:dyDescent="0.35"/>
    <row r="331" ht="24" customHeight="1" x14ac:dyDescent="0.35"/>
    <row r="332" ht="24" customHeight="1" x14ac:dyDescent="0.35"/>
    <row r="333" ht="24" customHeight="1" x14ac:dyDescent="0.35"/>
    <row r="334" ht="24" customHeight="1" x14ac:dyDescent="0.35"/>
    <row r="335" ht="24" customHeight="1" x14ac:dyDescent="0.35"/>
    <row r="336" ht="24" customHeight="1" x14ac:dyDescent="0.35"/>
    <row r="337" ht="24" customHeight="1" x14ac:dyDescent="0.35"/>
    <row r="338" ht="24" customHeight="1" x14ac:dyDescent="0.35"/>
    <row r="339" ht="24" customHeight="1" x14ac:dyDescent="0.35"/>
    <row r="340" ht="24" customHeight="1" x14ac:dyDescent="0.35"/>
    <row r="341" ht="24" customHeight="1" x14ac:dyDescent="0.35"/>
    <row r="342" ht="24" customHeight="1" x14ac:dyDescent="0.35"/>
    <row r="343" ht="24" customHeight="1" x14ac:dyDescent="0.35"/>
    <row r="344" ht="24" customHeight="1" x14ac:dyDescent="0.35"/>
    <row r="345" ht="24" customHeight="1" x14ac:dyDescent="0.35"/>
    <row r="346" ht="24" customHeight="1" x14ac:dyDescent="0.35"/>
    <row r="347" ht="24" customHeight="1" x14ac:dyDescent="0.35"/>
    <row r="348" ht="24" customHeight="1" x14ac:dyDescent="0.35"/>
    <row r="349" ht="24" customHeight="1" x14ac:dyDescent="0.35"/>
    <row r="350" ht="24" customHeight="1" x14ac:dyDescent="0.35"/>
    <row r="351" ht="24" customHeight="1" x14ac:dyDescent="0.35"/>
    <row r="352" ht="24" customHeight="1" x14ac:dyDescent="0.35"/>
    <row r="353" ht="24" customHeight="1" x14ac:dyDescent="0.35"/>
    <row r="354" ht="24" customHeight="1" x14ac:dyDescent="0.35"/>
    <row r="355" ht="24" customHeight="1" x14ac:dyDescent="0.35"/>
    <row r="356" ht="24" customHeight="1" x14ac:dyDescent="0.35"/>
    <row r="357" ht="24" customHeight="1" x14ac:dyDescent="0.35"/>
    <row r="358" ht="24" customHeight="1" x14ac:dyDescent="0.35"/>
    <row r="359" ht="24" customHeight="1" x14ac:dyDescent="0.35"/>
    <row r="360" ht="24" customHeight="1" x14ac:dyDescent="0.35"/>
  </sheetData>
  <mergeCells count="3">
    <mergeCell ref="I3:K3"/>
    <mergeCell ref="E3:F3"/>
    <mergeCell ref="G3:H3"/>
  </mergeCells>
  <phoneticPr fontId="11" type="noConversion"/>
  <conditionalFormatting sqref="A1:K2 A3:B4 C4:I4 A5:L7 A8:K1048576 L8:L99">
    <cfRule type="cellIs" dxfId="63" priority="132" operator="equal">
      <formula>"MUY ALTO"</formula>
    </cfRule>
    <cfRule type="cellIs" dxfId="62" priority="133" operator="equal">
      <formula>"NULO"</formula>
    </cfRule>
    <cfRule type="cellIs" dxfId="61" priority="134" operator="equal">
      <formula>"BAJO"</formula>
    </cfRule>
    <cfRule type="cellIs" dxfId="60" priority="135" operator="equal">
      <formula>"MEDIO"</formula>
    </cfRule>
    <cfRule type="cellIs" dxfId="59" priority="136" operator="equal">
      <formula>"ALTO"</formula>
    </cfRule>
  </conditionalFormatting>
  <conditionalFormatting sqref="B5:C13">
    <cfRule type="cellIs" dxfId="58" priority="124" operator="equal">
      <formula>"SI"</formula>
    </cfRule>
  </conditionalFormatting>
  <conditionalFormatting sqref="C1:C2 J100:K423 C100:C1048576 B5:C13 D4:D13 I5:L13">
    <cfRule type="cellIs" dxfId="57" priority="131" operator="equal">
      <formula>"SI"</formula>
    </cfRule>
  </conditionalFormatting>
  <conditionalFormatting sqref="C3:E3">
    <cfRule type="cellIs" dxfId="56" priority="21" operator="equal">
      <formula>"MUY ALTO"</formula>
    </cfRule>
    <cfRule type="cellIs" dxfId="55" priority="22" operator="equal">
      <formula>"NULO"</formula>
    </cfRule>
    <cfRule type="cellIs" dxfId="54" priority="23" operator="equal">
      <formula>"BAJO"</formula>
    </cfRule>
    <cfRule type="cellIs" dxfId="53" priority="24" operator="equal">
      <formula>"MEDIO"</formula>
    </cfRule>
    <cfRule type="cellIs" dxfId="52" priority="25" operator="equal">
      <formula>"ALTO"</formula>
    </cfRule>
  </conditionalFormatting>
  <conditionalFormatting sqref="G3">
    <cfRule type="cellIs" dxfId="51" priority="26" operator="equal">
      <formula>"MUY ALTO"</formula>
    </cfRule>
    <cfRule type="cellIs" dxfId="50" priority="27" operator="equal">
      <formula>"NULO"</formula>
    </cfRule>
    <cfRule type="cellIs" dxfId="49" priority="28" operator="equal">
      <formula>"BAJO"</formula>
    </cfRule>
    <cfRule type="cellIs" dxfId="48" priority="29" operator="equal">
      <formula>"MEDIO"</formula>
    </cfRule>
    <cfRule type="cellIs" dxfId="47" priority="30" operator="equal">
      <formula>"ALTO"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Y143"/>
  <sheetViews>
    <sheetView topLeftCell="A27" zoomScale="77" zoomScaleNormal="77" workbookViewId="0">
      <selection activeCell="A67" sqref="A67:G68"/>
    </sheetView>
  </sheetViews>
  <sheetFormatPr baseColWidth="10" defaultRowHeight="14.5" x14ac:dyDescent="0.35"/>
  <cols>
    <col min="1" max="1" width="37.54296875" bestFit="1" customWidth="1"/>
    <col min="2" max="2" width="8.81640625" bestFit="1" customWidth="1"/>
    <col min="3" max="3" width="8.453125" bestFit="1" customWidth="1"/>
    <col min="4" max="4" width="9.81640625" bestFit="1" customWidth="1"/>
    <col min="5" max="5" width="8.453125" bestFit="1" customWidth="1"/>
    <col min="6" max="6" width="12.90625" bestFit="1" customWidth="1"/>
    <col min="7" max="7" width="9.36328125" bestFit="1" customWidth="1"/>
    <col min="8" max="8" width="9.453125" customWidth="1"/>
    <col min="9" max="9" width="43.1796875" bestFit="1" customWidth="1"/>
    <col min="10" max="10" width="9" customWidth="1"/>
    <col min="11" max="11" width="9.54296875" bestFit="1" customWidth="1"/>
    <col min="12" max="12" width="10.1796875" customWidth="1"/>
    <col min="13" max="13" width="8.54296875" customWidth="1"/>
    <col min="14" max="14" width="13.1796875" customWidth="1"/>
    <col min="15" max="15" width="9.54296875" customWidth="1"/>
    <col min="16" max="16" width="8.81640625" customWidth="1"/>
    <col min="17" max="17" width="33.453125" customWidth="1"/>
    <col min="18" max="18" width="9" customWidth="1"/>
    <col min="19" max="19" width="8.54296875" customWidth="1"/>
    <col min="20" max="20" width="10.1796875" customWidth="1"/>
    <col min="21" max="21" width="8.54296875" customWidth="1"/>
    <col min="22" max="22" width="13.1796875" customWidth="1"/>
    <col min="23" max="23" width="11.7265625" customWidth="1"/>
    <col min="24" max="24" width="8.453125" customWidth="1"/>
    <col min="25" max="25" width="7.81640625" customWidth="1"/>
    <col min="26" max="26" width="9.453125" customWidth="1"/>
    <col min="27" max="27" width="7.81640625" customWidth="1"/>
    <col min="28" max="28" width="12.7265625" customWidth="1"/>
    <col min="29" max="29" width="8.81640625" customWidth="1"/>
  </cols>
  <sheetData>
    <row r="1" spans="1:23" ht="15" customHeight="1" x14ac:dyDescent="0.35"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ht="15" customHeight="1" x14ac:dyDescent="0.35">
      <c r="A2" s="56" t="s">
        <v>26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</row>
    <row r="17" customFormat="1" x14ac:dyDescent="0.35"/>
    <row r="18" customFormat="1" x14ac:dyDescent="0.35"/>
    <row r="19" customFormat="1" x14ac:dyDescent="0.35"/>
    <row r="20" customFormat="1" x14ac:dyDescent="0.35"/>
    <row r="21" customFormat="1" x14ac:dyDescent="0.35"/>
    <row r="22" customFormat="1" x14ac:dyDescent="0.35"/>
    <row r="23" customFormat="1" x14ac:dyDescent="0.35"/>
    <row r="24" customFormat="1" x14ac:dyDescent="0.35"/>
    <row r="25" customFormat="1" x14ac:dyDescent="0.35"/>
    <row r="26" customFormat="1" x14ac:dyDescent="0.35"/>
    <row r="27" customFormat="1" x14ac:dyDescent="0.35"/>
    <row r="28" customFormat="1" x14ac:dyDescent="0.35"/>
    <row r="29" customFormat="1" x14ac:dyDescent="0.35"/>
    <row r="30" customFormat="1" x14ac:dyDescent="0.35"/>
    <row r="31" customFormat="1" x14ac:dyDescent="0.35"/>
    <row r="32" customFormat="1" x14ac:dyDescent="0.35"/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  <row r="38" customFormat="1" x14ac:dyDescent="0.35"/>
    <row r="39" customFormat="1" x14ac:dyDescent="0.35"/>
    <row r="40" customFormat="1" x14ac:dyDescent="0.35"/>
    <row r="41" customFormat="1" x14ac:dyDescent="0.35"/>
    <row r="42" customFormat="1" x14ac:dyDescent="0.35"/>
    <row r="43" customFormat="1" x14ac:dyDescent="0.35"/>
    <row r="44" customFormat="1" x14ac:dyDescent="0.35"/>
    <row r="45" customFormat="1" x14ac:dyDescent="0.35"/>
    <row r="46" customFormat="1" x14ac:dyDescent="0.35"/>
    <row r="47" customFormat="1" x14ac:dyDescent="0.35"/>
    <row r="48" customFormat="1" x14ac:dyDescent="0.35"/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  <row r="64" customFormat="1" x14ac:dyDescent="0.35"/>
    <row r="67" spans="1:25" x14ac:dyDescent="0.35">
      <c r="A67" t="s">
        <v>23</v>
      </c>
      <c r="B67" t="s">
        <v>19</v>
      </c>
      <c r="C67" t="s">
        <v>18</v>
      </c>
      <c r="D67" t="s">
        <v>22</v>
      </c>
      <c r="E67" t="s">
        <v>20</v>
      </c>
      <c r="F67" t="s">
        <v>21</v>
      </c>
      <c r="G67" t="s">
        <v>24</v>
      </c>
      <c r="I67" s="3" t="s">
        <v>23</v>
      </c>
      <c r="J67" s="4" t="s">
        <v>19</v>
      </c>
      <c r="K67" s="4" t="s">
        <v>18</v>
      </c>
      <c r="L67" s="4" t="s">
        <v>22</v>
      </c>
      <c r="M67" s="4" t="s">
        <v>20</v>
      </c>
      <c r="N67" s="4" t="s">
        <v>21</v>
      </c>
      <c r="O67" s="5" t="s">
        <v>24</v>
      </c>
    </row>
    <row r="68" spans="1:25" x14ac:dyDescent="0.35">
      <c r="A68" t="s">
        <v>11</v>
      </c>
      <c r="B68">
        <v>0</v>
      </c>
      <c r="C68">
        <v>0</v>
      </c>
      <c r="D68">
        <v>3</v>
      </c>
      <c r="E68">
        <v>2</v>
      </c>
      <c r="F68">
        <v>4</v>
      </c>
      <c r="G68">
        <f>SUM(Tabla_Consulta_desde_Graficas_Anexo2[[#This Row],[NULO]:[MUY ALTO]])</f>
        <v>9</v>
      </c>
      <c r="I68" s="2" t="s">
        <v>11</v>
      </c>
      <c r="J68" s="36">
        <f>IF(+Tabla_Consulta_desde_Graficas_Anexo2[[#This Row],[NULO]]/Tabla_Consulta_desde_Graficas_Anexo2[[#This Row],[TOTAL]] = 0,,+Tabla_Consulta_desde_Graficas_Anexo2[[#This Row],[NULO]]/Tabla_Consulta_desde_Graficas_Anexo2[[#This Row],[TOTAL]])</f>
        <v>0</v>
      </c>
      <c r="K68" s="36">
        <f>IF(+Tabla_Consulta_desde_Graficas_Anexo2[[#This Row],[BAJO]]/Tabla_Consulta_desde_Graficas_Anexo2[[#This Row],[TOTAL]]=0,,+Tabla_Consulta_desde_Graficas_Anexo2[[#This Row],[BAJO]]/Tabla_Consulta_desde_Graficas_Anexo2[[#This Row],[TOTAL]])</f>
        <v>0</v>
      </c>
      <c r="L68" s="36">
        <f>IF(+Tabla_Consulta_desde_Graficas_Anexo2[[#This Row],[MEDIO]]/Tabla_Consulta_desde_Graficas_Anexo2[[#This Row],[TOTAL]] = 0,,+Tabla_Consulta_desde_Graficas_Anexo2[[#This Row],[MEDIO]]/Tabla_Consulta_desde_Graficas_Anexo2[[#This Row],[TOTAL]])</f>
        <v>0.33333333333333331</v>
      </c>
      <c r="M68" s="36">
        <f>IF(+Tabla_Consulta_desde_Graficas_Anexo2[[#This Row],[ALTO]]/Tabla_Consulta_desde_Graficas_Anexo2[[#This Row],[TOTAL]]=0,,+Tabla_Consulta_desde_Graficas_Anexo2[[#This Row],[ALTO]]/Tabla_Consulta_desde_Graficas_Anexo2[[#This Row],[TOTAL]])</f>
        <v>0.22222222222222221</v>
      </c>
      <c r="N68" s="36">
        <f>IF(+Tabla_Consulta_desde_Graficas_Anexo2[[#This Row],[MUY ALTO]]/Tabla_Consulta_desde_Graficas_Anexo2[[#This Row],[TOTAL]]=0,,+Tabla_Consulta_desde_Graficas_Anexo2[[#This Row],[MUY ALTO]]/Tabla_Consulta_desde_Graficas_Anexo2[[#This Row],[TOTAL]])</f>
        <v>0.44444444444444442</v>
      </c>
      <c r="O68" s="38">
        <f>+Tabla_Consulta_desde_Graficas_Anexo2[[#This Row],[TOTAL]]/Tabla_Consulta_desde_Graficas_Anexo2[[#This Row],[TOTAL]]</f>
        <v>1</v>
      </c>
    </row>
    <row r="69" spans="1:25" x14ac:dyDescent="0.35">
      <c r="A69" t="s">
        <v>10</v>
      </c>
      <c r="B69">
        <v>0</v>
      </c>
      <c r="C69">
        <v>1</v>
      </c>
      <c r="D69">
        <v>4</v>
      </c>
      <c r="E69">
        <v>2</v>
      </c>
      <c r="F69">
        <v>2</v>
      </c>
      <c r="G69">
        <f>SUM(Tabla_Consulta_desde_Graficas_Anexo2[[#This Row],[NULO]:[MUY ALTO]])</f>
        <v>9</v>
      </c>
      <c r="I69" s="2" t="s">
        <v>10</v>
      </c>
      <c r="J69" s="36">
        <f>IF(+Tabla_Consulta_desde_Graficas_Anexo2[[#This Row],[NULO]]/Tabla_Consulta_desde_Graficas_Anexo2[[#This Row],[TOTAL]] = 0,,+Tabla_Consulta_desde_Graficas_Anexo2[[#This Row],[NULO]]/Tabla_Consulta_desde_Graficas_Anexo2[[#This Row],[TOTAL]])</f>
        <v>0</v>
      </c>
      <c r="K69" s="36">
        <f>IF(+Tabla_Consulta_desde_Graficas_Anexo2[[#This Row],[BAJO]]/Tabla_Consulta_desde_Graficas_Anexo2[[#This Row],[TOTAL]]=0,,+Tabla_Consulta_desde_Graficas_Anexo2[[#This Row],[BAJO]]/Tabla_Consulta_desde_Graficas_Anexo2[[#This Row],[TOTAL]])</f>
        <v>0.1111111111111111</v>
      </c>
      <c r="L69" s="36">
        <f>IF(+Tabla_Consulta_desde_Graficas_Anexo2[[#This Row],[MEDIO]]/Tabla_Consulta_desde_Graficas_Anexo2[[#This Row],[TOTAL]] = 0,,+Tabla_Consulta_desde_Graficas_Anexo2[[#This Row],[MEDIO]]/Tabla_Consulta_desde_Graficas_Anexo2[[#This Row],[TOTAL]])</f>
        <v>0.44444444444444442</v>
      </c>
      <c r="M69" s="36">
        <f>IF(+Tabla_Consulta_desde_Graficas_Anexo2[[#This Row],[ALTO]]/Tabla_Consulta_desde_Graficas_Anexo2[[#This Row],[TOTAL]]=0,,+Tabla_Consulta_desde_Graficas_Anexo2[[#This Row],[ALTO]]/Tabla_Consulta_desde_Graficas_Anexo2[[#This Row],[TOTAL]])</f>
        <v>0.22222222222222221</v>
      </c>
      <c r="N69" s="41">
        <f>IF(+Tabla_Consulta_desde_Graficas_Anexo2[[#This Row],[MUY ALTO]]/Tabla_Consulta_desde_Graficas_Anexo2[[#This Row],[TOTAL]]=0,,+Tabla_Consulta_desde_Graficas_Anexo2[[#This Row],[MUY ALTO]]/Tabla_Consulta_desde_Graficas_Anexo2[[#This Row],[TOTAL]])</f>
        <v>0.22222222222222221</v>
      </c>
      <c r="O69" s="38">
        <f>+Tabla_Consulta_desde_Graficas_Anexo2[[#This Row],[TOTAL]]/Tabla_Consulta_desde_Graficas_Anexo2[[#This Row],[TOTAL]]</f>
        <v>1</v>
      </c>
    </row>
    <row r="70" spans="1:25" x14ac:dyDescent="0.35">
      <c r="A70" t="s">
        <v>12</v>
      </c>
      <c r="B70">
        <v>0</v>
      </c>
      <c r="C70">
        <v>1</v>
      </c>
      <c r="D70">
        <v>3</v>
      </c>
      <c r="E70">
        <v>4</v>
      </c>
      <c r="F70">
        <v>1</v>
      </c>
      <c r="G70">
        <f>SUM(Tabla_Consulta_desde_Graficas_Anexo2[[#This Row],[NULO]:[MUY ALTO]])</f>
        <v>9</v>
      </c>
      <c r="I70" s="2" t="s">
        <v>12</v>
      </c>
      <c r="J70" s="36">
        <f>IF(+Tabla_Consulta_desde_Graficas_Anexo2[[#This Row],[NULO]]/Tabla_Consulta_desde_Graficas_Anexo2[[#This Row],[TOTAL]] = 0,,+Tabla_Consulta_desde_Graficas_Anexo2[[#This Row],[NULO]]/Tabla_Consulta_desde_Graficas_Anexo2[[#This Row],[TOTAL]])</f>
        <v>0</v>
      </c>
      <c r="K70" s="36">
        <f>IF(+Tabla_Consulta_desde_Graficas_Anexo2[[#This Row],[BAJO]]/Tabla_Consulta_desde_Graficas_Anexo2[[#This Row],[TOTAL]]=0,,+Tabla_Consulta_desde_Graficas_Anexo2[[#This Row],[BAJO]]/Tabla_Consulta_desde_Graficas_Anexo2[[#This Row],[TOTAL]])</f>
        <v>0.1111111111111111</v>
      </c>
      <c r="L70" s="36">
        <f>IF(+Tabla_Consulta_desde_Graficas_Anexo2[[#This Row],[MEDIO]]/Tabla_Consulta_desde_Graficas_Anexo2[[#This Row],[TOTAL]] = 0,,+Tabla_Consulta_desde_Graficas_Anexo2[[#This Row],[MEDIO]]/Tabla_Consulta_desde_Graficas_Anexo2[[#This Row],[TOTAL]])</f>
        <v>0.33333333333333331</v>
      </c>
      <c r="M70" s="36">
        <f>IF(+Tabla_Consulta_desde_Graficas_Anexo2[[#This Row],[ALTO]]/Tabla_Consulta_desde_Graficas_Anexo2[[#This Row],[TOTAL]]=0,,+Tabla_Consulta_desde_Graficas_Anexo2[[#This Row],[ALTO]]/Tabla_Consulta_desde_Graficas_Anexo2[[#This Row],[TOTAL]])</f>
        <v>0.44444444444444442</v>
      </c>
      <c r="N70" s="36">
        <f>IF(+Tabla_Consulta_desde_Graficas_Anexo2[[#This Row],[MUY ALTO]]/Tabla_Consulta_desde_Graficas_Anexo2[[#This Row],[TOTAL]]=0,,+Tabla_Consulta_desde_Graficas_Anexo2[[#This Row],[MUY ALTO]]/Tabla_Consulta_desde_Graficas_Anexo2[[#This Row],[TOTAL]])</f>
        <v>0.1111111111111111</v>
      </c>
      <c r="O70" s="38">
        <f>+Tabla_Consulta_desde_Graficas_Anexo2[[#This Row],[TOTAL]]/Tabla_Consulta_desde_Graficas_Anexo2[[#This Row],[TOTAL]]</f>
        <v>1</v>
      </c>
    </row>
    <row r="71" spans="1:25" x14ac:dyDescent="0.35">
      <c r="A71" t="s">
        <v>14</v>
      </c>
      <c r="B71">
        <v>1</v>
      </c>
      <c r="C71">
        <v>0</v>
      </c>
      <c r="D71">
        <v>5</v>
      </c>
      <c r="E71">
        <v>1</v>
      </c>
      <c r="F71">
        <v>2</v>
      </c>
      <c r="G71">
        <f>SUM(Tabla_Consulta_desde_Graficas_Anexo2[[#This Row],[NULO]:[MUY ALTO]])</f>
        <v>9</v>
      </c>
      <c r="I71" s="2" t="s">
        <v>14</v>
      </c>
      <c r="J71" s="36">
        <f>IF(+Tabla_Consulta_desde_Graficas_Anexo2[[#This Row],[NULO]]/Tabla_Consulta_desde_Graficas_Anexo2[[#This Row],[TOTAL]] = 0,,+Tabla_Consulta_desde_Graficas_Anexo2[[#This Row],[NULO]]/Tabla_Consulta_desde_Graficas_Anexo2[[#This Row],[TOTAL]])</f>
        <v>0.1111111111111111</v>
      </c>
      <c r="K71" s="36">
        <f>IF(+Tabla_Consulta_desde_Graficas_Anexo2[[#This Row],[BAJO]]/Tabla_Consulta_desde_Graficas_Anexo2[[#This Row],[TOTAL]]=0,,+Tabla_Consulta_desde_Graficas_Anexo2[[#This Row],[BAJO]]/Tabla_Consulta_desde_Graficas_Anexo2[[#This Row],[TOTAL]])</f>
        <v>0</v>
      </c>
      <c r="L71" s="36">
        <f>IF(+Tabla_Consulta_desde_Graficas_Anexo2[[#This Row],[MEDIO]]/Tabla_Consulta_desde_Graficas_Anexo2[[#This Row],[TOTAL]] = 0,,+Tabla_Consulta_desde_Graficas_Anexo2[[#This Row],[MEDIO]]/Tabla_Consulta_desde_Graficas_Anexo2[[#This Row],[TOTAL]])</f>
        <v>0.55555555555555558</v>
      </c>
      <c r="M71" s="36">
        <f>IF(+Tabla_Consulta_desde_Graficas_Anexo2[[#This Row],[ALTO]]/Tabla_Consulta_desde_Graficas_Anexo2[[#This Row],[TOTAL]]=0,,+Tabla_Consulta_desde_Graficas_Anexo2[[#This Row],[ALTO]]/Tabla_Consulta_desde_Graficas_Anexo2[[#This Row],[TOTAL]])</f>
        <v>0.1111111111111111</v>
      </c>
      <c r="N71" s="36">
        <f>IF(+Tabla_Consulta_desde_Graficas_Anexo2[[#This Row],[MUY ALTO]]/Tabla_Consulta_desde_Graficas_Anexo2[[#This Row],[TOTAL]]=0,,+Tabla_Consulta_desde_Graficas_Anexo2[[#This Row],[MUY ALTO]]/Tabla_Consulta_desde_Graficas_Anexo2[[#This Row],[TOTAL]])</f>
        <v>0.22222222222222221</v>
      </c>
      <c r="O71" s="38">
        <f>+Tabla_Consulta_desde_Graficas_Anexo2[[#This Row],[TOTAL]]/Tabla_Consulta_desde_Graficas_Anexo2[[#This Row],[TOTAL]]</f>
        <v>1</v>
      </c>
    </row>
    <row r="72" spans="1:25" x14ac:dyDescent="0.35">
      <c r="A72" t="s">
        <v>13</v>
      </c>
      <c r="B72">
        <v>0</v>
      </c>
      <c r="C72">
        <v>1</v>
      </c>
      <c r="D72">
        <v>2</v>
      </c>
      <c r="E72">
        <v>4</v>
      </c>
      <c r="F72">
        <v>2</v>
      </c>
      <c r="G72">
        <f>SUM(Tabla_Consulta_desde_Graficas_Anexo2[[#This Row],[NULO]:[MUY ALTO]])</f>
        <v>9</v>
      </c>
      <c r="I72" s="2" t="s">
        <v>13</v>
      </c>
      <c r="J72" s="36">
        <f>IF(+Tabla_Consulta_desde_Graficas_Anexo2[[#This Row],[NULO]]/Tabla_Consulta_desde_Graficas_Anexo2[[#This Row],[TOTAL]] = 0,,+Tabla_Consulta_desde_Graficas_Anexo2[[#This Row],[NULO]]/Tabla_Consulta_desde_Graficas_Anexo2[[#This Row],[TOTAL]])</f>
        <v>0</v>
      </c>
      <c r="K72" s="36">
        <f>IF(+Tabla_Consulta_desde_Graficas_Anexo2[[#This Row],[BAJO]]/Tabla_Consulta_desde_Graficas_Anexo2[[#This Row],[TOTAL]]=0,,+Tabla_Consulta_desde_Graficas_Anexo2[[#This Row],[BAJO]]/Tabla_Consulta_desde_Graficas_Anexo2[[#This Row],[TOTAL]])</f>
        <v>0.1111111111111111</v>
      </c>
      <c r="L72" s="36">
        <f>IF(+Tabla_Consulta_desde_Graficas_Anexo2[[#This Row],[MEDIO]]/Tabla_Consulta_desde_Graficas_Anexo2[[#This Row],[TOTAL]] = 0,,+Tabla_Consulta_desde_Graficas_Anexo2[[#This Row],[MEDIO]]/Tabla_Consulta_desde_Graficas_Anexo2[[#This Row],[TOTAL]])</f>
        <v>0.22222222222222221</v>
      </c>
      <c r="M72" s="36">
        <f>IF(+Tabla_Consulta_desde_Graficas_Anexo2[[#This Row],[ALTO]]/Tabla_Consulta_desde_Graficas_Anexo2[[#This Row],[TOTAL]]=0,,+Tabla_Consulta_desde_Graficas_Anexo2[[#This Row],[ALTO]]/Tabla_Consulta_desde_Graficas_Anexo2[[#This Row],[TOTAL]])</f>
        <v>0.44444444444444442</v>
      </c>
      <c r="N72" s="36">
        <f>IF(+Tabla_Consulta_desde_Graficas_Anexo2[[#This Row],[MUY ALTO]]/Tabla_Consulta_desde_Graficas_Anexo2[[#This Row],[TOTAL]]=0,,+Tabla_Consulta_desde_Graficas_Anexo2[[#This Row],[MUY ALTO]]/Tabla_Consulta_desde_Graficas_Anexo2[[#This Row],[TOTAL]])</f>
        <v>0.22222222222222221</v>
      </c>
      <c r="O72" s="38">
        <f>+Tabla_Consulta_desde_Graficas_Anexo2[[#This Row],[TOTAL]]/Tabla_Consulta_desde_Graficas_Anexo2[[#This Row],[TOTAL]]</f>
        <v>1</v>
      </c>
    </row>
    <row r="73" spans="1:25" x14ac:dyDescent="0.35">
      <c r="A73" t="s">
        <v>15</v>
      </c>
      <c r="B73">
        <v>0</v>
      </c>
      <c r="C73">
        <v>2</v>
      </c>
      <c r="D73">
        <v>4</v>
      </c>
      <c r="E73">
        <v>3</v>
      </c>
      <c r="F73">
        <v>0</v>
      </c>
      <c r="G73">
        <f>SUM(Tabla_Consulta_desde_Graficas_Anexo2[[#This Row],[NULO]:[MUY ALTO]])</f>
        <v>9</v>
      </c>
      <c r="I73" s="2" t="s">
        <v>15</v>
      </c>
      <c r="J73" s="36">
        <f>IF(+Tabla_Consulta_desde_Graficas_Anexo2[[#This Row],[NULO]]/Tabla_Consulta_desde_Graficas_Anexo2[[#This Row],[TOTAL]] = 0,,+Tabla_Consulta_desde_Graficas_Anexo2[[#This Row],[NULO]]/Tabla_Consulta_desde_Graficas_Anexo2[[#This Row],[TOTAL]])</f>
        <v>0</v>
      </c>
      <c r="K73" s="36">
        <f>IF(+Tabla_Consulta_desde_Graficas_Anexo2[[#This Row],[BAJO]]/Tabla_Consulta_desde_Graficas_Anexo2[[#This Row],[TOTAL]]=0,,+Tabla_Consulta_desde_Graficas_Anexo2[[#This Row],[BAJO]]/Tabla_Consulta_desde_Graficas_Anexo2[[#This Row],[TOTAL]])</f>
        <v>0.22222222222222221</v>
      </c>
      <c r="L73" s="36">
        <f>IF(+Tabla_Consulta_desde_Graficas_Anexo2[[#This Row],[MEDIO]]/Tabla_Consulta_desde_Graficas_Anexo2[[#This Row],[TOTAL]] = 0,,+Tabla_Consulta_desde_Graficas_Anexo2[[#This Row],[MEDIO]]/Tabla_Consulta_desde_Graficas_Anexo2[[#This Row],[TOTAL]])</f>
        <v>0.44444444444444442</v>
      </c>
      <c r="M73" s="36">
        <f>IF(+Tabla_Consulta_desde_Graficas_Anexo2[[#This Row],[ALTO]]/Tabla_Consulta_desde_Graficas_Anexo2[[#This Row],[TOTAL]]=0,,+Tabla_Consulta_desde_Graficas_Anexo2[[#This Row],[ALTO]]/Tabla_Consulta_desde_Graficas_Anexo2[[#This Row],[TOTAL]])</f>
        <v>0.33333333333333331</v>
      </c>
      <c r="N73" s="36">
        <f>IF(+Tabla_Consulta_desde_Graficas_Anexo2[[#This Row],[MUY ALTO]]/Tabla_Consulta_desde_Graficas_Anexo2[[#This Row],[TOTAL]]=0,,+Tabla_Consulta_desde_Graficas_Anexo2[[#This Row],[MUY ALTO]]/Tabla_Consulta_desde_Graficas_Anexo2[[#This Row],[TOTAL]])</f>
        <v>0</v>
      </c>
      <c r="O73" s="38">
        <f>+Tabla_Consulta_desde_Graficas_Anexo2[[#This Row],[TOTAL]]/Tabla_Consulta_desde_Graficas_Anexo2[[#This Row],[TOTAL]]</f>
        <v>1</v>
      </c>
    </row>
    <row r="74" spans="1:25" x14ac:dyDescent="0.35">
      <c r="A74" t="s">
        <v>16</v>
      </c>
      <c r="B74">
        <v>6</v>
      </c>
      <c r="C74">
        <v>1</v>
      </c>
      <c r="D74">
        <v>2</v>
      </c>
      <c r="E74">
        <v>0</v>
      </c>
      <c r="F74">
        <v>0</v>
      </c>
      <c r="G74">
        <f>SUM(Tabla_Consulta_desde_Graficas_Anexo2[[#This Row],[NULO]:[MUY ALTO]])</f>
        <v>9</v>
      </c>
      <c r="I74" s="2" t="s">
        <v>16</v>
      </c>
      <c r="J74" s="36">
        <f>IF(+Tabla_Consulta_desde_Graficas_Anexo2[[#This Row],[NULO]]/Tabla_Consulta_desde_Graficas_Anexo2[[#This Row],[TOTAL]] = 0,,+Tabla_Consulta_desde_Graficas_Anexo2[[#This Row],[NULO]]/Tabla_Consulta_desde_Graficas_Anexo2[[#This Row],[TOTAL]])</f>
        <v>0.66666666666666663</v>
      </c>
      <c r="K74" s="36">
        <f>IF(+Tabla_Consulta_desde_Graficas_Anexo2[[#This Row],[BAJO]]/Tabla_Consulta_desde_Graficas_Anexo2[[#This Row],[TOTAL]]=0,,+Tabla_Consulta_desde_Graficas_Anexo2[[#This Row],[BAJO]]/Tabla_Consulta_desde_Graficas_Anexo2[[#This Row],[TOTAL]])</f>
        <v>0.1111111111111111</v>
      </c>
      <c r="L74" s="36">
        <f>IF(+Tabla_Consulta_desde_Graficas_Anexo2[[#This Row],[MEDIO]]/Tabla_Consulta_desde_Graficas_Anexo2[[#This Row],[TOTAL]] = 0,,+Tabla_Consulta_desde_Graficas_Anexo2[[#This Row],[MEDIO]]/Tabla_Consulta_desde_Graficas_Anexo2[[#This Row],[TOTAL]])</f>
        <v>0.22222222222222221</v>
      </c>
      <c r="M74" s="36">
        <f>IF(+Tabla_Consulta_desde_Graficas_Anexo2[[#This Row],[ALTO]]/Tabla_Consulta_desde_Graficas_Anexo2[[#This Row],[TOTAL]]=0,,+Tabla_Consulta_desde_Graficas_Anexo2[[#This Row],[ALTO]]/Tabla_Consulta_desde_Graficas_Anexo2[[#This Row],[TOTAL]])</f>
        <v>0</v>
      </c>
      <c r="N74" s="36">
        <f>IF(+Tabla_Consulta_desde_Graficas_Anexo2[[#This Row],[MUY ALTO]]/Tabla_Consulta_desde_Graficas_Anexo2[[#This Row],[TOTAL]]=0,,+Tabla_Consulta_desde_Graficas_Anexo2[[#This Row],[MUY ALTO]]/Tabla_Consulta_desde_Graficas_Anexo2[[#This Row],[TOTAL]])</f>
        <v>0</v>
      </c>
      <c r="O74" s="38">
        <f>+Tabla_Consulta_desde_Graficas_Anexo2[[#This Row],[TOTAL]]/Tabla_Consulta_desde_Graficas_Anexo2[[#This Row],[TOTAL]]</f>
        <v>1</v>
      </c>
    </row>
    <row r="75" spans="1:25" x14ac:dyDescent="0.35">
      <c r="A75" t="s">
        <v>17</v>
      </c>
      <c r="B75">
        <v>8</v>
      </c>
      <c r="C75">
        <v>1</v>
      </c>
      <c r="D75">
        <v>0</v>
      </c>
      <c r="E75">
        <v>0</v>
      </c>
      <c r="F75">
        <v>0</v>
      </c>
      <c r="G75">
        <f>SUM(Tabla_Consulta_desde_Graficas_Anexo2[[#This Row],[NULO]:[MUY ALTO]])</f>
        <v>9</v>
      </c>
      <c r="I75" s="6" t="s">
        <v>17</v>
      </c>
      <c r="J75" s="36">
        <f>IF(+Tabla_Consulta_desde_Graficas_Anexo2[[#This Row],[NULO]]/Tabla_Consulta_desde_Graficas_Anexo2[[#This Row],[TOTAL]] = 0,,+Tabla_Consulta_desde_Graficas_Anexo2[[#This Row],[NULO]]/Tabla_Consulta_desde_Graficas_Anexo2[[#This Row],[TOTAL]])</f>
        <v>0.88888888888888884</v>
      </c>
      <c r="K75" s="36">
        <f>IF(+Tabla_Consulta_desde_Graficas_Anexo2[[#This Row],[BAJO]]/Tabla_Consulta_desde_Graficas_Anexo2[[#This Row],[TOTAL]]=0,,+Tabla_Consulta_desde_Graficas_Anexo2[[#This Row],[BAJO]]/Tabla_Consulta_desde_Graficas_Anexo2[[#This Row],[TOTAL]])</f>
        <v>0.1111111111111111</v>
      </c>
      <c r="L75" s="36">
        <f>IF(+Tabla_Consulta_desde_Graficas_Anexo2[[#This Row],[MEDIO]]/Tabla_Consulta_desde_Graficas_Anexo2[[#This Row],[TOTAL]] = 0,,+Tabla_Consulta_desde_Graficas_Anexo2[[#This Row],[MEDIO]]/Tabla_Consulta_desde_Graficas_Anexo2[[#This Row],[TOTAL]])</f>
        <v>0</v>
      </c>
      <c r="M75" s="36">
        <f>IF(+Tabla_Consulta_desde_Graficas_Anexo2[[#This Row],[ALTO]]/Tabla_Consulta_desde_Graficas_Anexo2[[#This Row],[TOTAL]]=0,,+Tabla_Consulta_desde_Graficas_Anexo2[[#This Row],[ALTO]]/Tabla_Consulta_desde_Graficas_Anexo2[[#This Row],[TOTAL]])</f>
        <v>0</v>
      </c>
      <c r="N75" s="36">
        <f>IF(+Tabla_Consulta_desde_Graficas_Anexo2[[#This Row],[MUY ALTO]]/Tabla_Consulta_desde_Graficas_Anexo2[[#This Row],[TOTAL]]=0,,+Tabla_Consulta_desde_Graficas_Anexo2[[#This Row],[MUY ALTO]]/Tabla_Consulta_desde_Graficas_Anexo2[[#This Row],[TOTAL]])</f>
        <v>0</v>
      </c>
      <c r="O75" s="39">
        <f>+Tabla_Consulta_desde_Graficas_Anexo2[[#This Row],[TOTAL]]/Tabla_Consulta_desde_Graficas_Anexo2[[#This Row],[TOTAL]]</f>
        <v>1</v>
      </c>
    </row>
    <row r="77" spans="1:25" ht="15" customHeight="1" x14ac:dyDescent="0.35">
      <c r="A77" s="12" t="s">
        <v>27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7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1"/>
      <c r="X77" s="11"/>
      <c r="Y77" s="11"/>
    </row>
    <row r="78" spans="1:25" ht="15" customHeight="1" x14ac:dyDescent="0.35">
      <c r="H78" s="10"/>
      <c r="I78" s="10"/>
    </row>
    <row r="115" spans="1:24" x14ac:dyDescent="0.35">
      <c r="A115" t="s">
        <v>25</v>
      </c>
      <c r="B115" t="s">
        <v>19</v>
      </c>
      <c r="C115" t="s">
        <v>18</v>
      </c>
      <c r="D115" t="s">
        <v>22</v>
      </c>
      <c r="E115" t="s">
        <v>20</v>
      </c>
      <c r="F115" t="s">
        <v>21</v>
      </c>
      <c r="G115" t="s">
        <v>37</v>
      </c>
      <c r="I115" t="s">
        <v>25</v>
      </c>
      <c r="J115" t="s">
        <v>19</v>
      </c>
      <c r="K115" t="s">
        <v>18</v>
      </c>
      <c r="L115" t="s">
        <v>22</v>
      </c>
      <c r="M115" t="s">
        <v>20</v>
      </c>
      <c r="N115" t="s">
        <v>21</v>
      </c>
      <c r="O115" t="s">
        <v>24</v>
      </c>
    </row>
    <row r="116" spans="1:24" x14ac:dyDescent="0.35">
      <c r="A116" t="s">
        <v>33</v>
      </c>
      <c r="B116">
        <v>0</v>
      </c>
      <c r="C116">
        <v>1</v>
      </c>
      <c r="D116">
        <v>4</v>
      </c>
      <c r="E116">
        <v>2</v>
      </c>
      <c r="F116">
        <v>2</v>
      </c>
      <c r="G116">
        <f>SUM(Tabla_Consulta_desde_CategoriaGuiaII[[#This Row],[NULO]:[MUY ALTO]])</f>
        <v>9</v>
      </c>
      <c r="I116" t="s">
        <v>33</v>
      </c>
      <c r="J116" s="37">
        <f>+Tabla_Consulta_desde_CategoriaGuiaII[[#This Row],[NULO]]/Tabla_Consulta_desde_CategoriaGuiaII[[#This Row],[Total]]</f>
        <v>0</v>
      </c>
      <c r="K116" s="37">
        <f>+Tabla_Consulta_desde_CategoriaGuiaII[[#This Row],[BAJO]]/Tabla_Consulta_desde_CategoriaGuiaII[[#This Row],[Total]]</f>
        <v>0.1111111111111111</v>
      </c>
      <c r="L116" s="37">
        <f>+Tabla_Consulta_desde_CategoriaGuiaII[[#This Row],[MEDIO]]/Tabla_Consulta_desde_CategoriaGuiaII[[#This Row],[Total]]</f>
        <v>0.44444444444444442</v>
      </c>
      <c r="M116" s="37">
        <f>+Tabla_Consulta_desde_CategoriaGuiaII[[#This Row],[ALTO]]/Tabla_Consulta_desde_CategoriaGuiaII[[#This Row],[Total]]</f>
        <v>0.22222222222222221</v>
      </c>
      <c r="N116" s="37">
        <f>+Tabla_Consulta_desde_CategoriaGuiaII[[#This Row],[MUY ALTO]]/Tabla_Consulta_desde_CategoriaGuiaII[[#This Row],[Total]]</f>
        <v>0.22222222222222221</v>
      </c>
      <c r="O116" s="37">
        <f>+Tabla_Consulta_desde_CategoriaGuiaII[[#This Row],[Total]]/Tabla_Consulta_desde_CategoriaGuiaII[[#This Row],[Total]]</f>
        <v>1</v>
      </c>
    </row>
    <row r="117" spans="1:24" ht="21" x14ac:dyDescent="0.35">
      <c r="A117" t="s">
        <v>34</v>
      </c>
      <c r="B117">
        <v>0</v>
      </c>
      <c r="C117">
        <v>0</v>
      </c>
      <c r="D117">
        <v>2</v>
      </c>
      <c r="E117">
        <v>5</v>
      </c>
      <c r="F117">
        <v>2</v>
      </c>
      <c r="G117">
        <f>SUM(Tabla_Consulta_desde_CategoriaGuiaII[[#This Row],[NULO]:[MUY ALTO]])</f>
        <v>9</v>
      </c>
      <c r="H117" s="10"/>
      <c r="I117" t="s">
        <v>34</v>
      </c>
      <c r="J117" s="37">
        <f>+Tabla_Consulta_desde_CategoriaGuiaII[[#This Row],[NULO]]/Tabla_Consulta_desde_CategoriaGuiaII[[#This Row],[Total]]</f>
        <v>0</v>
      </c>
      <c r="K117" s="37">
        <f>+Tabla_Consulta_desde_CategoriaGuiaII[[#This Row],[BAJO]]/Tabla_Consulta_desde_CategoriaGuiaII[[#This Row],[Total]]</f>
        <v>0</v>
      </c>
      <c r="L117" s="37">
        <f>+Tabla_Consulta_desde_CategoriaGuiaII[[#This Row],[MEDIO]]/Tabla_Consulta_desde_CategoriaGuiaII[[#This Row],[Total]]</f>
        <v>0.22222222222222221</v>
      </c>
      <c r="M117" s="37">
        <f>+Tabla_Consulta_desde_CategoriaGuiaII[[#This Row],[ALTO]]/Tabla_Consulta_desde_CategoriaGuiaII[[#This Row],[Total]]</f>
        <v>0.55555555555555558</v>
      </c>
      <c r="N117" s="37">
        <f>+Tabla_Consulta_desde_CategoriaGuiaII[[#This Row],[MUY ALTO]]/Tabla_Consulta_desde_CategoriaGuiaII[[#This Row],[Total]]</f>
        <v>0.22222222222222221</v>
      </c>
      <c r="O117" s="37">
        <f>+Tabla_Consulta_desde_CategoriaGuiaII[[#This Row],[Total]]/Tabla_Consulta_desde_CategoriaGuiaII[[#This Row],[Total]]</f>
        <v>1</v>
      </c>
    </row>
    <row r="118" spans="1:24" ht="21" x14ac:dyDescent="0.35">
      <c r="A118" t="s">
        <v>35</v>
      </c>
      <c r="B118">
        <v>3</v>
      </c>
      <c r="C118">
        <v>4</v>
      </c>
      <c r="D118">
        <v>2</v>
      </c>
      <c r="E118">
        <v>0</v>
      </c>
      <c r="F118">
        <v>0</v>
      </c>
      <c r="G118">
        <f>SUM(Tabla_Consulta_desde_CategoriaGuiaII[[#This Row],[NULO]:[MUY ALTO]])</f>
        <v>9</v>
      </c>
      <c r="H118" s="10"/>
      <c r="I118" t="s">
        <v>35</v>
      </c>
      <c r="J118" s="37">
        <f>+Tabla_Consulta_desde_CategoriaGuiaII[[#This Row],[NULO]]/Tabla_Consulta_desde_CategoriaGuiaII[[#This Row],[Total]]</f>
        <v>0.33333333333333331</v>
      </c>
      <c r="K118" s="37">
        <f>+Tabla_Consulta_desde_CategoriaGuiaII[[#This Row],[BAJO]]/Tabla_Consulta_desde_CategoriaGuiaII[[#This Row],[Total]]</f>
        <v>0.44444444444444442</v>
      </c>
      <c r="L118" s="37">
        <f>+Tabla_Consulta_desde_CategoriaGuiaII[[#This Row],[MEDIO]]/Tabla_Consulta_desde_CategoriaGuiaII[[#This Row],[Total]]</f>
        <v>0.22222222222222221</v>
      </c>
      <c r="M118" s="37">
        <f>+Tabla_Consulta_desde_CategoriaGuiaII[[#This Row],[ALTO]]/Tabla_Consulta_desde_CategoriaGuiaII[[#This Row],[Total]]</f>
        <v>0</v>
      </c>
      <c r="N118" s="37">
        <f>+Tabla_Consulta_desde_CategoriaGuiaII[[#This Row],[MUY ALTO]]/Tabla_Consulta_desde_CategoriaGuiaII[[#This Row],[Total]]</f>
        <v>0</v>
      </c>
      <c r="O118" s="37">
        <f>+Tabla_Consulta_desde_CategoriaGuiaII[[#This Row],[Total]]/Tabla_Consulta_desde_CategoriaGuiaII[[#This Row],[Total]]</f>
        <v>1</v>
      </c>
    </row>
    <row r="119" spans="1:24" x14ac:dyDescent="0.35">
      <c r="A119" t="s">
        <v>36</v>
      </c>
      <c r="B119">
        <v>1</v>
      </c>
      <c r="C119">
        <v>1</v>
      </c>
      <c r="D119">
        <v>3</v>
      </c>
      <c r="E119">
        <v>2</v>
      </c>
      <c r="F119">
        <v>2</v>
      </c>
      <c r="G119">
        <f>SUM(Tabla_Consulta_desde_CategoriaGuiaII[[#This Row],[NULO]:[MUY ALTO]])</f>
        <v>9</v>
      </c>
      <c r="I119" t="s">
        <v>36</v>
      </c>
      <c r="J119" s="37">
        <f>+Tabla_Consulta_desde_CategoriaGuiaII[[#This Row],[NULO]]/Tabla_Consulta_desde_CategoriaGuiaII[[#This Row],[Total]]</f>
        <v>0.1111111111111111</v>
      </c>
      <c r="K119" s="37">
        <f>+Tabla_Consulta_desde_CategoriaGuiaII[[#This Row],[BAJO]]/Tabla_Consulta_desde_CategoriaGuiaII[[#This Row],[Total]]</f>
        <v>0.1111111111111111</v>
      </c>
      <c r="L119" s="37">
        <f>+Tabla_Consulta_desde_CategoriaGuiaII[[#This Row],[MEDIO]]/Tabla_Consulta_desde_CategoriaGuiaII[[#This Row],[Total]]</f>
        <v>0.33333333333333331</v>
      </c>
      <c r="M119" s="37">
        <f>+Tabla_Consulta_desde_CategoriaGuiaII[[#This Row],[ALTO]]/Tabla_Consulta_desde_CategoriaGuiaII[[#This Row],[Total]]</f>
        <v>0.22222222222222221</v>
      </c>
      <c r="N119" s="37">
        <f>+Tabla_Consulta_desde_CategoriaGuiaII[[#This Row],[MUY ALTO]]/Tabla_Consulta_desde_CategoriaGuiaII[[#This Row],[Total]]</f>
        <v>0.22222222222222221</v>
      </c>
      <c r="O119" s="37">
        <f>+Tabla_Consulta_desde_CategoriaGuiaII[[#This Row],[Total]]/Tabla_Consulta_desde_CategoriaGuiaII[[#This Row],[Total]]</f>
        <v>1</v>
      </c>
    </row>
    <row r="122" spans="1:24" ht="23.5" x14ac:dyDescent="0.35">
      <c r="B122" s="12" t="s">
        <v>30</v>
      </c>
      <c r="C122" s="12"/>
      <c r="D122" s="12"/>
      <c r="E122" s="12"/>
      <c r="F122" s="12"/>
      <c r="G122" s="12"/>
      <c r="H122" s="12"/>
      <c r="I122" s="12"/>
      <c r="J122" s="12"/>
      <c r="K122" s="17"/>
      <c r="L122" s="17"/>
      <c r="M122" s="17"/>
      <c r="N122" s="17"/>
      <c r="O122" s="17"/>
    </row>
    <row r="126" spans="1:24" ht="21" x14ac:dyDescent="0.35">
      <c r="W126" s="10"/>
      <c r="X126" s="10"/>
    </row>
    <row r="127" spans="1:24" ht="21" x14ac:dyDescent="0.35">
      <c r="W127" s="10"/>
      <c r="X127" s="10"/>
    </row>
    <row r="129" spans="1:22" ht="15" customHeight="1" x14ac:dyDescent="0.35">
      <c r="V129" s="10"/>
    </row>
    <row r="130" spans="1:22" ht="15" customHeight="1" x14ac:dyDescent="0.35">
      <c r="V130" s="10"/>
    </row>
    <row r="142" spans="1:22" x14ac:dyDescent="0.35">
      <c r="A142" t="s">
        <v>28</v>
      </c>
      <c r="B142" t="s">
        <v>19</v>
      </c>
      <c r="C142" t="s">
        <v>18</v>
      </c>
      <c r="D142" t="s">
        <v>22</v>
      </c>
      <c r="E142" t="s">
        <v>20</v>
      </c>
      <c r="F142" t="s">
        <v>21</v>
      </c>
      <c r="G142" t="s">
        <v>24</v>
      </c>
      <c r="I142" s="7" t="s">
        <v>25</v>
      </c>
      <c r="J142" s="8" t="s">
        <v>19</v>
      </c>
      <c r="K142" s="8" t="s">
        <v>18</v>
      </c>
      <c r="L142" s="8" t="s">
        <v>22</v>
      </c>
      <c r="M142" s="8" t="s">
        <v>20</v>
      </c>
      <c r="N142" s="8" t="s">
        <v>21</v>
      </c>
      <c r="O142" s="9" t="s">
        <v>24</v>
      </c>
    </row>
    <row r="143" spans="1:22" x14ac:dyDescent="0.35">
      <c r="A143" t="s">
        <v>29</v>
      </c>
      <c r="B143">
        <v>0</v>
      </c>
      <c r="C143">
        <v>0</v>
      </c>
      <c r="D143">
        <v>7</v>
      </c>
      <c r="E143">
        <v>2</v>
      </c>
      <c r="F143">
        <v>0</v>
      </c>
      <c r="G143">
        <f>SUM(Tabla_Consulta_desde_CuestionarioGUIAII_1[[NULO]:[MUY ALTO]])</f>
        <v>9</v>
      </c>
      <c r="I143" s="1" t="s">
        <v>29</v>
      </c>
      <c r="J143" s="36">
        <f>+Tabla_Consulta_desde_CuestionarioGUIAII_1[NULO]/Tabla_Consulta_desde_CuestionarioGUIAII_1[TOTAL]</f>
        <v>0</v>
      </c>
      <c r="K143" s="36">
        <f>+Tabla_Consulta_desde_CuestionarioGUIAII_1[BAJO]/Tabla_Consulta_desde_CuestionarioGUIAII_1[TOTAL]</f>
        <v>0</v>
      </c>
      <c r="L143" s="36">
        <f>+Tabla_Consulta_desde_CuestionarioGUIAII_1[MEDIO]/Tabla_Consulta_desde_CuestionarioGUIAII_1[TOTAL]</f>
        <v>0.77777777777777779</v>
      </c>
      <c r="M143" s="36">
        <f>+Tabla_Consulta_desde_CuestionarioGUIAII_1[ALTO]/Tabla_Consulta_desde_CuestionarioGUIAII_1[TOTAL]</f>
        <v>0.22222222222222221</v>
      </c>
      <c r="N143" s="36">
        <f>+Tabla_Consulta_desde_CuestionarioGUIAII_1[MUY ALTO]/Tabla_Consulta_desde_CuestionarioGUIAII_1[TOTAL]</f>
        <v>0</v>
      </c>
      <c r="O143" s="36">
        <f>+Tabla_Consulta_desde_CuestionarioGUIAII_1[TOTAL]/Tabla_Consulta_desde_CuestionarioGUIAII_1[TOTAL]</f>
        <v>1</v>
      </c>
    </row>
  </sheetData>
  <mergeCells count="1">
    <mergeCell ref="A2:L2"/>
  </mergeCells>
  <pageMargins left="0.7" right="0.7" top="0.75" bottom="0.75" header="0.3" footer="0.3"/>
  <pageSetup orientation="portrait" r:id="rId1"/>
  <drawing r:id="rId2"/>
  <tableParts count="5">
    <tablePart r:id="rId3"/>
    <tablePart r:id="rId4"/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4AB58-8D29-47C6-BBB1-C72E3F8F7AB4}">
  <sheetPr codeName="Hoja7"/>
  <dimension ref="A3:O13"/>
  <sheetViews>
    <sheetView zoomScale="57" zoomScaleNormal="57" workbookViewId="0">
      <selection activeCell="A4" sqref="A4:O50"/>
    </sheetView>
  </sheetViews>
  <sheetFormatPr baseColWidth="10" defaultRowHeight="14.5" x14ac:dyDescent="0.35"/>
  <cols>
    <col min="1" max="1" width="13.08984375" bestFit="1" customWidth="1"/>
    <col min="2" max="2" width="37.6328125" bestFit="1" customWidth="1"/>
    <col min="3" max="3" width="36.26953125" bestFit="1" customWidth="1"/>
    <col min="4" max="4" width="51.08984375" bestFit="1" customWidth="1"/>
    <col min="5" max="5" width="52.1796875" bestFit="1" customWidth="1"/>
    <col min="6" max="6" width="28.6328125" bestFit="1" customWidth="1"/>
    <col min="7" max="7" width="46.453125" bestFit="1" customWidth="1"/>
    <col min="8" max="8" width="30.81640625" bestFit="1" customWidth="1"/>
    <col min="9" max="9" width="56.26953125" bestFit="1" customWidth="1"/>
    <col min="10" max="10" width="20.7265625" bestFit="1" customWidth="1"/>
    <col min="11" max="11" width="36.54296875" bestFit="1" customWidth="1"/>
    <col min="12" max="12" width="20" bestFit="1" customWidth="1"/>
    <col min="13" max="13" width="44.453125" bestFit="1" customWidth="1"/>
    <col min="14" max="14" width="39.54296875" bestFit="1" customWidth="1"/>
    <col min="15" max="15" width="34.08984375" bestFit="1" customWidth="1"/>
    <col min="16" max="16" width="9.26953125" bestFit="1" customWidth="1"/>
    <col min="17" max="17" width="8.7265625" bestFit="1" customWidth="1"/>
    <col min="18" max="18" width="19.81640625" bestFit="1" customWidth="1"/>
    <col min="19" max="19" width="81.1796875" bestFit="1" customWidth="1"/>
  </cols>
  <sheetData>
    <row r="3" spans="1:15" x14ac:dyDescent="0.35">
      <c r="B3" s="28"/>
      <c r="C3" s="28"/>
      <c r="D3" s="33"/>
      <c r="E3" s="29" t="s">
        <v>68</v>
      </c>
      <c r="F3" s="53" t="s">
        <v>69</v>
      </c>
      <c r="G3" s="55"/>
      <c r="H3" s="53" t="s">
        <v>70</v>
      </c>
      <c r="I3" s="55"/>
      <c r="J3" s="53" t="s">
        <v>71</v>
      </c>
      <c r="K3" s="54"/>
      <c r="L3" s="54"/>
      <c r="M3" s="53" t="s">
        <v>92</v>
      </c>
      <c r="N3" s="54"/>
      <c r="O3" s="42"/>
    </row>
    <row r="4" spans="1:15" ht="29" x14ac:dyDescent="0.35">
      <c r="A4" s="32" t="s">
        <v>67</v>
      </c>
      <c r="B4" s="32" t="s">
        <v>38</v>
      </c>
      <c r="C4" s="32" t="s">
        <v>62</v>
      </c>
      <c r="D4" s="33" t="s">
        <v>73</v>
      </c>
      <c r="E4" s="33" t="s">
        <v>10</v>
      </c>
      <c r="F4" s="40" t="s">
        <v>11</v>
      </c>
      <c r="G4" s="40" t="s">
        <v>12</v>
      </c>
      <c r="H4" s="40" t="s">
        <v>13</v>
      </c>
      <c r="I4" s="40" t="s">
        <v>14</v>
      </c>
      <c r="J4" s="40" t="s">
        <v>15</v>
      </c>
      <c r="K4" s="33" t="s">
        <v>16</v>
      </c>
      <c r="L4" s="40" t="s">
        <v>17</v>
      </c>
      <c r="M4" s="40" t="s">
        <v>90</v>
      </c>
      <c r="N4" s="40" t="s">
        <v>91</v>
      </c>
      <c r="O4" s="43" t="s">
        <v>72</v>
      </c>
    </row>
    <row r="5" spans="1:15" x14ac:dyDescent="0.35">
      <c r="A5">
        <v>1</v>
      </c>
      <c r="B5" t="s">
        <v>127</v>
      </c>
      <c r="C5" t="s">
        <v>128</v>
      </c>
      <c r="D5" t="s">
        <v>0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15" x14ac:dyDescent="0.35">
      <c r="A6">
        <v>2</v>
      </c>
      <c r="B6" t="s">
        <v>130</v>
      </c>
      <c r="C6" t="s">
        <v>131</v>
      </c>
      <c r="D6" t="s">
        <v>0</v>
      </c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</row>
    <row r="7" spans="1:15" x14ac:dyDescent="0.35">
      <c r="A7">
        <v>3</v>
      </c>
      <c r="B7" t="s">
        <v>133</v>
      </c>
      <c r="C7" t="s">
        <v>134</v>
      </c>
      <c r="D7" t="s">
        <v>0</v>
      </c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</row>
    <row r="8" spans="1:15" x14ac:dyDescent="0.35">
      <c r="A8">
        <v>4</v>
      </c>
      <c r="B8" t="s">
        <v>135</v>
      </c>
      <c r="C8" t="s">
        <v>136</v>
      </c>
      <c r="D8" t="s">
        <v>0</v>
      </c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</row>
    <row r="9" spans="1:15" x14ac:dyDescent="0.35">
      <c r="A9">
        <v>5</v>
      </c>
      <c r="B9" t="s">
        <v>138</v>
      </c>
      <c r="C9" t="s">
        <v>139</v>
      </c>
      <c r="D9" t="s">
        <v>0</v>
      </c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</row>
    <row r="10" spans="1:15" x14ac:dyDescent="0.35">
      <c r="A10">
        <v>6</v>
      </c>
      <c r="B10" t="s">
        <v>140</v>
      </c>
      <c r="C10" t="s">
        <v>141</v>
      </c>
      <c r="D10" t="s">
        <v>0</v>
      </c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spans="1:15" x14ac:dyDescent="0.35">
      <c r="A11">
        <v>7</v>
      </c>
      <c r="B11" t="s">
        <v>142</v>
      </c>
      <c r="C11" t="s">
        <v>143</v>
      </c>
      <c r="D11" t="s">
        <v>0</v>
      </c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x14ac:dyDescent="0.35">
      <c r="A12">
        <v>8</v>
      </c>
      <c r="B12" t="s">
        <v>144</v>
      </c>
      <c r="C12" t="s">
        <v>145</v>
      </c>
      <c r="D12" t="s">
        <v>0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</row>
    <row r="13" spans="1:15" x14ac:dyDescent="0.35">
      <c r="A13">
        <v>9</v>
      </c>
      <c r="B13" t="s">
        <v>146</v>
      </c>
      <c r="C13" t="s">
        <v>147</v>
      </c>
      <c r="D13" t="s">
        <v>0</v>
      </c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</sheetData>
  <mergeCells count="4">
    <mergeCell ref="M3:N3"/>
    <mergeCell ref="F3:G3"/>
    <mergeCell ref="H3:I3"/>
    <mergeCell ref="J3:L3"/>
  </mergeCells>
  <phoneticPr fontId="11" type="noConversion"/>
  <conditionalFormatting sqref="A4 E5:O13">
    <cfRule type="cellIs" dxfId="46" priority="1" operator="equal">
      <formula>"MUY ALTO"</formula>
    </cfRule>
    <cfRule type="cellIs" dxfId="45" priority="2" operator="equal">
      <formula>"NULO"</formula>
    </cfRule>
    <cfRule type="cellIs" dxfId="44" priority="3" operator="equal">
      <formula>"BAJO"</formula>
    </cfRule>
    <cfRule type="cellIs" dxfId="43" priority="4" operator="equal">
      <formula>"MEDIO"</formula>
    </cfRule>
    <cfRule type="cellIs" dxfId="42" priority="5" operator="equal">
      <formula>"ALTO"</formula>
    </cfRule>
  </conditionalFormatting>
  <conditionalFormatting sqref="B4:C4">
    <cfRule type="cellIs" dxfId="41" priority="12" operator="equal">
      <formula>"MUY ALTO"</formula>
    </cfRule>
    <cfRule type="cellIs" dxfId="40" priority="13" operator="equal">
      <formula>"NULO"</formula>
    </cfRule>
    <cfRule type="cellIs" dxfId="39" priority="14" operator="equal">
      <formula>"BAJO"</formula>
    </cfRule>
    <cfRule type="cellIs" dxfId="38" priority="15" operator="equal">
      <formula>"MEDIO"</formula>
    </cfRule>
    <cfRule type="cellIs" dxfId="37" priority="16" operator="equal">
      <formula>"ALTO"</formula>
    </cfRule>
  </conditionalFormatting>
  <conditionalFormatting sqref="B3:F3">
    <cfRule type="cellIs" dxfId="36" priority="33" operator="equal">
      <formula>"MUY ALTO"</formula>
    </cfRule>
    <cfRule type="cellIs" dxfId="35" priority="34" operator="equal">
      <formula>"NULO"</formula>
    </cfRule>
    <cfRule type="cellIs" dxfId="34" priority="35" operator="equal">
      <formula>"BAJO"</formula>
    </cfRule>
    <cfRule type="cellIs" dxfId="33" priority="36" operator="equal">
      <formula>"MEDIO"</formula>
    </cfRule>
    <cfRule type="cellIs" dxfId="32" priority="37" operator="equal">
      <formula>"ALTO"</formula>
    </cfRule>
  </conditionalFormatting>
  <conditionalFormatting sqref="D4">
    <cfRule type="cellIs" dxfId="31" priority="22" operator="equal">
      <formula>"MUY ALTO"</formula>
    </cfRule>
    <cfRule type="cellIs" dxfId="30" priority="23" operator="equal">
      <formula>"NULO"</formula>
    </cfRule>
    <cfRule type="cellIs" dxfId="29" priority="24" operator="equal">
      <formula>"BAJO"</formula>
    </cfRule>
    <cfRule type="cellIs" dxfId="28" priority="25" operator="equal">
      <formula>"MEDIO"</formula>
    </cfRule>
    <cfRule type="cellIs" dxfId="27" priority="26" operator="equal">
      <formula>"ALTO"</formula>
    </cfRule>
  </conditionalFormatting>
  <conditionalFormatting sqref="E4:N4">
    <cfRule type="cellIs" dxfId="26" priority="28" operator="equal">
      <formula>"MUY ALTO"</formula>
    </cfRule>
    <cfRule type="cellIs" dxfId="25" priority="29" operator="equal">
      <formula>"NULO"</formula>
    </cfRule>
    <cfRule type="cellIs" dxfId="24" priority="30" operator="equal">
      <formula>"BAJO"</formula>
    </cfRule>
    <cfRule type="cellIs" dxfId="23" priority="31" operator="equal">
      <formula>"MEDIO"</formula>
    </cfRule>
    <cfRule type="cellIs" dxfId="22" priority="32" operator="equal">
      <formula>"ALTO"</formula>
    </cfRule>
  </conditionalFormatting>
  <conditionalFormatting sqref="F4 L4 E5:O13">
    <cfRule type="cellIs" dxfId="21" priority="27" operator="equal">
      <formula>"SI"</formula>
    </cfRule>
  </conditionalFormatting>
  <conditionalFormatting sqref="H3">
    <cfRule type="cellIs" dxfId="20" priority="38" operator="equal">
      <formula>"MUY ALTO"</formula>
    </cfRule>
    <cfRule type="cellIs" dxfId="19" priority="39" operator="equal">
      <formula>"NULO"</formula>
    </cfRule>
    <cfRule type="cellIs" dxfId="18" priority="40" operator="equal">
      <formula>"BAJO"</formula>
    </cfRule>
    <cfRule type="cellIs" dxfId="17" priority="41" operator="equal">
      <formula>"MEDIO"</formula>
    </cfRule>
    <cfRule type="cellIs" dxfId="16" priority="42" operator="equal">
      <formula>"ALTO"</formula>
    </cfRule>
  </conditionalFormatting>
  <conditionalFormatting sqref="O4">
    <cfRule type="cellIs" dxfId="15" priority="17" operator="equal">
      <formula>"MUY ALTO"</formula>
    </cfRule>
    <cfRule type="cellIs" dxfId="14" priority="18" operator="equal">
      <formula>"NULO"</formula>
    </cfRule>
    <cfRule type="cellIs" dxfId="13" priority="19" operator="equal">
      <formula>"BAJO"</formula>
    </cfRule>
    <cfRule type="cellIs" dxfId="12" priority="20" operator="equal">
      <formula>"MEDIO"</formula>
    </cfRule>
    <cfRule type="cellIs" dxfId="11" priority="21" operator="equal">
      <formula>"ALTO"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350CE-920E-4F80-BFD6-A1C71BD45C05}">
  <sheetPr codeName="Hoja6"/>
  <dimension ref="A1:P202"/>
  <sheetViews>
    <sheetView topLeftCell="A76" zoomScale="90" zoomScaleNormal="90" workbookViewId="0">
      <selection activeCell="A108" sqref="A108:G118"/>
    </sheetView>
  </sheetViews>
  <sheetFormatPr baseColWidth="10" defaultRowHeight="14.5" x14ac:dyDescent="0.35"/>
  <cols>
    <col min="1" max="1" width="19.26953125" bestFit="1" customWidth="1"/>
    <col min="2" max="2" width="8.453125" bestFit="1" customWidth="1"/>
    <col min="3" max="3" width="7.90625" bestFit="1" customWidth="1"/>
    <col min="4" max="4" width="9.26953125" bestFit="1" customWidth="1"/>
    <col min="5" max="5" width="8" bestFit="1" customWidth="1"/>
    <col min="6" max="6" width="12.36328125" bestFit="1" customWidth="1"/>
    <col min="7" max="7" width="8.81640625" bestFit="1" customWidth="1"/>
    <col min="9" max="9" width="57" style="16" bestFit="1" customWidth="1"/>
    <col min="10" max="15" width="11.453125" style="14"/>
  </cols>
  <sheetData>
    <row r="1" spans="1:16" x14ac:dyDescent="0.35">
      <c r="A1" s="57" t="s">
        <v>26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</row>
    <row r="2" spans="1:16" ht="23.25" customHeight="1" x14ac:dyDescent="0.35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</row>
    <row r="108" spans="1:15" x14ac:dyDescent="0.35">
      <c r="A108" t="s">
        <v>23</v>
      </c>
      <c r="B108" t="s">
        <v>19</v>
      </c>
      <c r="C108" t="s">
        <v>18</v>
      </c>
      <c r="D108" t="s">
        <v>22</v>
      </c>
      <c r="E108" t="s">
        <v>20</v>
      </c>
      <c r="F108" t="s">
        <v>21</v>
      </c>
      <c r="G108" t="s">
        <v>24</v>
      </c>
      <c r="I108" s="15" t="s">
        <v>23</v>
      </c>
      <c r="J108" s="13" t="s">
        <v>19</v>
      </c>
      <c r="K108" s="13" t="s">
        <v>18</v>
      </c>
      <c r="L108" s="13" t="s">
        <v>22</v>
      </c>
      <c r="M108" s="13" t="s">
        <v>20</v>
      </c>
      <c r="N108" s="13" t="s">
        <v>21</v>
      </c>
      <c r="O108" s="13" t="s">
        <v>24</v>
      </c>
    </row>
    <row r="109" spans="1:15" x14ac:dyDescent="0.35">
      <c r="I109" s="1" t="s">
        <v>11</v>
      </c>
      <c r="J109" s="44" t="e">
        <f>+Tabla_Consulta_desde_Dominios_GUIAIII[[#This Row],[NULO]]/Tabla_Consulta_desde_Dominios_GUIAIII[[#This Row],[TOTAL]]</f>
        <v>#DIV/0!</v>
      </c>
      <c r="K109" s="44" t="e">
        <f>+Tabla_Consulta_desde_Dominios_GUIAIII[[#This Row],[BAJO]]/Tabla_Consulta_desde_Dominios_GUIAIII[[#This Row],[TOTAL]]</f>
        <v>#DIV/0!</v>
      </c>
      <c r="L109" s="44" t="e">
        <f>+Tabla_Consulta_desde_Dominios_GUIAIII[[#This Row],[MEDIO]]/Tabla_Consulta_desde_Dominios_GUIAIII[[#This Row],[TOTAL]]</f>
        <v>#DIV/0!</v>
      </c>
      <c r="M109" s="44" t="e">
        <f>+Tabla_Consulta_desde_Dominios_GUIAIII[[#This Row],[ALTO]]/Tabla_Consulta_desde_Dominios_GUIAIII[[#This Row],[TOTAL]]</f>
        <v>#DIV/0!</v>
      </c>
      <c r="N109" s="44" t="e">
        <f>+Tabla_Consulta_desde_Dominios_GUIAIII[[#This Row],[MUY ALTO]]/Tabla_Consulta_desde_Dominios_GUIAIII[[#This Row],[TOTAL]]</f>
        <v>#DIV/0!</v>
      </c>
      <c r="O109" s="14" t="e">
        <f>+Tabla_Consulta_desde_Dominios_GUIAIII[[#This Row],[TOTAL]]/Tabla_Consulta_desde_Dominios_GUIAIII[[#This Row],[TOTAL]]</f>
        <v>#DIV/0!</v>
      </c>
    </row>
    <row r="110" spans="1:15" x14ac:dyDescent="0.35">
      <c r="I110" s="35" t="s">
        <v>10</v>
      </c>
      <c r="J110" s="44" t="e">
        <f>+Tabla_Consulta_desde_Dominios_GUIAIII[[#This Row],[NULO]]/Tabla_Consulta_desde_Dominios_GUIAIII[[#This Row],[TOTAL]]</f>
        <v>#VALUE!</v>
      </c>
      <c r="K110" s="44" t="e">
        <f>+Tabla_Consulta_desde_Dominios_GUIAIII[[#This Row],[BAJO]]/Tabla_Consulta_desde_Dominios_GUIAIII[[#This Row],[TOTAL]]</f>
        <v>#VALUE!</v>
      </c>
      <c r="L110" s="44" t="e">
        <f>+Tabla_Consulta_desde_Dominios_GUIAIII[[#This Row],[MEDIO]]/Tabla_Consulta_desde_Dominios_GUIAIII[[#This Row],[TOTAL]]</f>
        <v>#VALUE!</v>
      </c>
      <c r="M110" s="44" t="e">
        <f>+Tabla_Consulta_desde_Dominios_GUIAIII[[#This Row],[ALTO]]/Tabla_Consulta_desde_Dominios_GUIAIII[[#This Row],[TOTAL]]</f>
        <v>#VALUE!</v>
      </c>
      <c r="N110" s="44" t="e">
        <f>+Tabla_Consulta_desde_Dominios_GUIAIII[[#This Row],[MUY ALTO]]/Tabla_Consulta_desde_Dominios_GUIAIII[[#This Row],[TOTAL]]</f>
        <v>#VALUE!</v>
      </c>
      <c r="O110" s="14" t="e">
        <f>+Tabla_Consulta_desde_Dominios_GUIAIII[[#This Row],[TOTAL]]/Tabla_Consulta_desde_Dominios_GUIAIII[[#This Row],[TOTAL]]</f>
        <v>#VALUE!</v>
      </c>
    </row>
    <row r="111" spans="1:15" ht="23.5" x14ac:dyDescent="0.55000000000000004">
      <c r="A111" s="34" t="s">
        <v>27</v>
      </c>
      <c r="B111" s="34"/>
      <c r="C111" s="34"/>
      <c r="D111" s="34"/>
      <c r="E111" s="34"/>
      <c r="F111" s="34"/>
      <c r="G111" s="34"/>
      <c r="I111" s="1" t="s">
        <v>12</v>
      </c>
      <c r="J111" s="44" t="e">
        <f>+Tabla_Consulta_desde_Dominios_GUIAIII[[#This Row],[NULO]]/Tabla_Consulta_desde_Dominios_GUIAIII[[#This Row],[TOTAL]]</f>
        <v>#VALUE!</v>
      </c>
      <c r="K111" s="44" t="e">
        <f>+Tabla_Consulta_desde_Dominios_GUIAIII[[#This Row],[BAJO]]/Tabla_Consulta_desde_Dominios_GUIAIII[[#This Row],[TOTAL]]</f>
        <v>#VALUE!</v>
      </c>
      <c r="L111" s="44" t="e">
        <f>+Tabla_Consulta_desde_Dominios_GUIAIII[[#This Row],[MEDIO]]/Tabla_Consulta_desde_Dominios_GUIAIII[[#This Row],[TOTAL]]</f>
        <v>#VALUE!</v>
      </c>
      <c r="M111" s="44" t="e">
        <f>+Tabla_Consulta_desde_Dominios_GUIAIII[[#This Row],[ALTO]]/Tabla_Consulta_desde_Dominios_GUIAIII[[#This Row],[TOTAL]]</f>
        <v>#VALUE!</v>
      </c>
      <c r="N111" s="44" t="e">
        <f>+Tabla_Consulta_desde_Dominios_GUIAIII[[#This Row],[MUY ALTO]]/Tabla_Consulta_desde_Dominios_GUIAIII[[#This Row],[TOTAL]]</f>
        <v>#VALUE!</v>
      </c>
      <c r="O111" s="14" t="e">
        <f>+Tabla_Consulta_desde_Dominios_GUIAIII[[#This Row],[TOTAL]]/Tabla_Consulta_desde_Dominios_GUIAIII[[#This Row],[TOTAL]]</f>
        <v>#VALUE!</v>
      </c>
    </row>
    <row r="112" spans="1:15" ht="23.5" x14ac:dyDescent="0.55000000000000004">
      <c r="A112" s="34"/>
      <c r="B112" s="34"/>
      <c r="C112" s="34"/>
      <c r="D112" s="34"/>
      <c r="E112" s="34"/>
      <c r="F112" s="34"/>
      <c r="G112" s="34"/>
      <c r="I112" s="35" t="s">
        <v>95</v>
      </c>
      <c r="J112" s="44" t="e">
        <f>+Tabla_Consulta_desde_Dominios_GUIAIII[[#This Row],[NULO]]/Tabla_Consulta_desde_Dominios_GUIAIII[[#This Row],[TOTAL]]</f>
        <v>#VALUE!</v>
      </c>
      <c r="K112" s="44" t="e">
        <f>+Tabla_Consulta_desde_Dominios_GUIAIII[[#This Row],[BAJO]]/Tabla_Consulta_desde_Dominios_GUIAIII[[#This Row],[TOTAL]]</f>
        <v>#VALUE!</v>
      </c>
      <c r="L112" s="44" t="e">
        <f>+Tabla_Consulta_desde_Dominios_GUIAIII[[#This Row],[MEDIO]]/Tabla_Consulta_desde_Dominios_GUIAIII[[#This Row],[TOTAL]]</f>
        <v>#VALUE!</v>
      </c>
      <c r="M112" s="44" t="e">
        <f>+Tabla_Consulta_desde_Dominios_GUIAIII[[#This Row],[ALTO]]/Tabla_Consulta_desde_Dominios_GUIAIII[[#This Row],[TOTAL]]</f>
        <v>#VALUE!</v>
      </c>
      <c r="N112" s="44" t="e">
        <f>+Tabla_Consulta_desde_Dominios_GUIAIII[[#This Row],[MUY ALTO]]/Tabla_Consulta_desde_Dominios_GUIAIII[[#This Row],[TOTAL]]</f>
        <v>#VALUE!</v>
      </c>
      <c r="O112" s="14" t="e">
        <f>+Tabla_Consulta_desde_Dominios_GUIAIII[[#This Row],[TOTAL]]/Tabla_Consulta_desde_Dominios_GUIAIII[[#This Row],[TOTAL]]</f>
        <v>#VALUE!</v>
      </c>
    </row>
    <row r="113" spans="1:15" ht="23.5" x14ac:dyDescent="0.55000000000000004">
      <c r="A113" s="34"/>
      <c r="B113" s="34"/>
      <c r="C113" s="34"/>
      <c r="D113" s="34"/>
      <c r="E113" s="34"/>
      <c r="F113" s="34"/>
      <c r="G113" s="34"/>
      <c r="I113" s="1" t="s">
        <v>14</v>
      </c>
      <c r="J113" s="44" t="e">
        <f>+Tabla_Consulta_desde_Dominios_GUIAIII[[#This Row],[NULO]]/Tabla_Consulta_desde_Dominios_GUIAIII[[#This Row],[TOTAL]]</f>
        <v>#VALUE!</v>
      </c>
      <c r="K113" s="44" t="e">
        <f>+Tabla_Consulta_desde_Dominios_GUIAIII[[#This Row],[BAJO]]/Tabla_Consulta_desde_Dominios_GUIAIII[[#This Row],[TOTAL]]</f>
        <v>#VALUE!</v>
      </c>
      <c r="L113" s="44" t="e">
        <f>+Tabla_Consulta_desde_Dominios_GUIAIII[[#This Row],[MEDIO]]/Tabla_Consulta_desde_Dominios_GUIAIII[[#This Row],[TOTAL]]</f>
        <v>#VALUE!</v>
      </c>
      <c r="M113" s="44" t="e">
        <f>+Tabla_Consulta_desde_Dominios_GUIAIII[[#This Row],[ALTO]]/Tabla_Consulta_desde_Dominios_GUIAIII[[#This Row],[TOTAL]]</f>
        <v>#VALUE!</v>
      </c>
      <c r="N113" s="44" t="e">
        <f>+Tabla_Consulta_desde_Dominios_GUIAIII[[#This Row],[MUY ALTO]]/Tabla_Consulta_desde_Dominios_GUIAIII[[#This Row],[TOTAL]]</f>
        <v>#VALUE!</v>
      </c>
      <c r="O113" s="14" t="e">
        <f>+Tabla_Consulta_desde_Dominios_GUIAIII[[#This Row],[TOTAL]]/Tabla_Consulta_desde_Dominios_GUIAIII[[#This Row],[TOTAL]]</f>
        <v>#VALUE!</v>
      </c>
    </row>
    <row r="114" spans="1:15" ht="23.5" x14ac:dyDescent="0.55000000000000004">
      <c r="A114" s="34"/>
      <c r="B114" s="34"/>
      <c r="C114" s="34"/>
      <c r="D114" s="34"/>
      <c r="E114" s="34"/>
      <c r="F114" s="34"/>
      <c r="G114" s="34"/>
      <c r="I114" s="35" t="s">
        <v>13</v>
      </c>
      <c r="J114" s="44" t="e">
        <f>+Tabla_Consulta_desde_Dominios_GUIAIII[[#This Row],[NULO]]/Tabla_Consulta_desde_Dominios_GUIAIII[[#This Row],[TOTAL]]</f>
        <v>#VALUE!</v>
      </c>
      <c r="K114" s="44" t="e">
        <f>+Tabla_Consulta_desde_Dominios_GUIAIII[[#This Row],[BAJO]]/Tabla_Consulta_desde_Dominios_GUIAIII[[#This Row],[TOTAL]]</f>
        <v>#VALUE!</v>
      </c>
      <c r="L114" s="44" t="e">
        <f>+Tabla_Consulta_desde_Dominios_GUIAIII[[#This Row],[MEDIO]]/Tabla_Consulta_desde_Dominios_GUIAIII[[#This Row],[TOTAL]]</f>
        <v>#VALUE!</v>
      </c>
      <c r="M114" s="44" t="e">
        <f>+Tabla_Consulta_desde_Dominios_GUIAIII[[#This Row],[ALTO]]/Tabla_Consulta_desde_Dominios_GUIAIII[[#This Row],[TOTAL]]</f>
        <v>#VALUE!</v>
      </c>
      <c r="N114" s="44" t="e">
        <f>+Tabla_Consulta_desde_Dominios_GUIAIII[[#This Row],[MUY ALTO]]/Tabla_Consulta_desde_Dominios_GUIAIII[[#This Row],[TOTAL]]</f>
        <v>#VALUE!</v>
      </c>
      <c r="O114" s="14" t="e">
        <f>+Tabla_Consulta_desde_Dominios_GUIAIII[[#This Row],[TOTAL]]/Tabla_Consulta_desde_Dominios_GUIAIII[[#This Row],[TOTAL]]</f>
        <v>#VALUE!</v>
      </c>
    </row>
    <row r="115" spans="1:15" ht="23.5" x14ac:dyDescent="0.55000000000000004">
      <c r="A115" s="34"/>
      <c r="B115" s="34"/>
      <c r="C115" s="34"/>
      <c r="D115" s="34"/>
      <c r="E115" s="34"/>
      <c r="F115" s="34"/>
      <c r="G115" s="34"/>
      <c r="I115" s="1" t="s">
        <v>15</v>
      </c>
      <c r="J115" s="44" t="e">
        <f>+Tabla_Consulta_desde_Dominios_GUIAIII[[#This Row],[NULO]]/Tabla_Consulta_desde_Dominios_GUIAIII[[#This Row],[TOTAL]]</f>
        <v>#VALUE!</v>
      </c>
      <c r="K115" s="44" t="e">
        <f>+Tabla_Consulta_desde_Dominios_GUIAIII[[#This Row],[BAJO]]/Tabla_Consulta_desde_Dominios_GUIAIII[[#This Row],[TOTAL]]</f>
        <v>#VALUE!</v>
      </c>
      <c r="L115" s="44" t="e">
        <f>+Tabla_Consulta_desde_Dominios_GUIAIII[[#This Row],[MEDIO]]/Tabla_Consulta_desde_Dominios_GUIAIII[[#This Row],[TOTAL]]</f>
        <v>#VALUE!</v>
      </c>
      <c r="M115" s="44" t="e">
        <f>+Tabla_Consulta_desde_Dominios_GUIAIII[[#This Row],[ALTO]]/Tabla_Consulta_desde_Dominios_GUIAIII[[#This Row],[TOTAL]]</f>
        <v>#VALUE!</v>
      </c>
      <c r="N115" s="44" t="e">
        <f>+Tabla_Consulta_desde_Dominios_GUIAIII[[#This Row],[MUY ALTO]]/Tabla_Consulta_desde_Dominios_GUIAIII[[#This Row],[TOTAL]]</f>
        <v>#VALUE!</v>
      </c>
      <c r="O115" s="14" t="e">
        <f>+Tabla_Consulta_desde_Dominios_GUIAIII[[#This Row],[TOTAL]]/Tabla_Consulta_desde_Dominios_GUIAIII[[#This Row],[TOTAL]]</f>
        <v>#VALUE!</v>
      </c>
    </row>
    <row r="116" spans="1:15" ht="23.5" x14ac:dyDescent="0.55000000000000004">
      <c r="A116" s="34"/>
      <c r="B116" s="34"/>
      <c r="C116" s="34"/>
      <c r="D116" s="34"/>
      <c r="E116" s="34"/>
      <c r="F116" s="34"/>
      <c r="G116" s="34"/>
      <c r="I116" s="35" t="s">
        <v>90</v>
      </c>
      <c r="J116" s="44" t="e">
        <f>+Tabla_Consulta_desde_Dominios_GUIAIII[[#This Row],[NULO]]/Tabla_Consulta_desde_Dominios_GUIAIII[[#This Row],[TOTAL]]</f>
        <v>#VALUE!</v>
      </c>
      <c r="K116" s="44" t="e">
        <f>+Tabla_Consulta_desde_Dominios_GUIAIII[[#This Row],[BAJO]]/Tabla_Consulta_desde_Dominios_GUIAIII[[#This Row],[TOTAL]]</f>
        <v>#VALUE!</v>
      </c>
      <c r="L116" s="44" t="e">
        <f>+Tabla_Consulta_desde_Dominios_GUIAIII[[#This Row],[MEDIO]]/Tabla_Consulta_desde_Dominios_GUIAIII[[#This Row],[TOTAL]]</f>
        <v>#VALUE!</v>
      </c>
      <c r="M116" s="44" t="e">
        <f>+Tabla_Consulta_desde_Dominios_GUIAIII[[#This Row],[ALTO]]/Tabla_Consulta_desde_Dominios_GUIAIII[[#This Row],[TOTAL]]</f>
        <v>#VALUE!</v>
      </c>
      <c r="N116" s="44" t="e">
        <f>+Tabla_Consulta_desde_Dominios_GUIAIII[[#This Row],[MUY ALTO]]/Tabla_Consulta_desde_Dominios_GUIAIII[[#This Row],[TOTAL]]</f>
        <v>#VALUE!</v>
      </c>
      <c r="O116" s="14" t="e">
        <f>+Tabla_Consulta_desde_Dominios_GUIAIII[[#This Row],[TOTAL]]/Tabla_Consulta_desde_Dominios_GUIAIII[[#This Row],[TOTAL]]</f>
        <v>#VALUE!</v>
      </c>
    </row>
    <row r="117" spans="1:15" ht="23.5" x14ac:dyDescent="0.55000000000000004">
      <c r="A117" s="34"/>
      <c r="B117" s="34"/>
      <c r="C117" s="34"/>
      <c r="D117" s="34"/>
      <c r="E117" s="34"/>
      <c r="F117" s="34"/>
      <c r="G117" s="34"/>
      <c r="I117" s="1" t="s">
        <v>16</v>
      </c>
      <c r="J117" s="44" t="e">
        <f>+Tabla_Consulta_desde_Dominios_GUIAIII[[#This Row],[NULO]]/Tabla_Consulta_desde_Dominios_GUIAIII[[#This Row],[TOTAL]]</f>
        <v>#VALUE!</v>
      </c>
      <c r="K117" s="44" t="e">
        <f>+Tabla_Consulta_desde_Dominios_GUIAIII[[#This Row],[BAJO]]/Tabla_Consulta_desde_Dominios_GUIAIII[[#This Row],[TOTAL]]</f>
        <v>#VALUE!</v>
      </c>
      <c r="L117" s="44" t="e">
        <f>+Tabla_Consulta_desde_Dominios_GUIAIII[[#This Row],[MEDIO]]/Tabla_Consulta_desde_Dominios_GUIAIII[[#This Row],[TOTAL]]</f>
        <v>#VALUE!</v>
      </c>
      <c r="M117" s="44" t="e">
        <f>+Tabla_Consulta_desde_Dominios_GUIAIII[[#This Row],[ALTO]]/Tabla_Consulta_desde_Dominios_GUIAIII[[#This Row],[TOTAL]]</f>
        <v>#VALUE!</v>
      </c>
      <c r="N117" s="44" t="e">
        <f>+Tabla_Consulta_desde_Dominios_GUIAIII[[#This Row],[MUY ALTO]]/Tabla_Consulta_desde_Dominios_GUIAIII[[#This Row],[TOTAL]]</f>
        <v>#VALUE!</v>
      </c>
      <c r="O117" s="14" t="e">
        <f>+Tabla_Consulta_desde_Dominios_GUIAIII[[#This Row],[TOTAL]]/Tabla_Consulta_desde_Dominios_GUIAIII[[#This Row],[TOTAL]]</f>
        <v>#VALUE!</v>
      </c>
    </row>
    <row r="118" spans="1:15" ht="23.5" x14ac:dyDescent="0.55000000000000004">
      <c r="A118" s="34"/>
      <c r="B118" s="34"/>
      <c r="C118" s="34"/>
      <c r="D118" s="34"/>
      <c r="E118" s="34"/>
      <c r="F118" s="34"/>
      <c r="G118" s="34"/>
      <c r="I118" s="35" t="s">
        <v>17</v>
      </c>
      <c r="J118" s="44" t="e">
        <f>+Tabla_Consulta_desde_Dominios_GUIAIII[[#This Row],[NULO]]/Tabla_Consulta_desde_Dominios_GUIAIII[[#This Row],[TOTAL]]</f>
        <v>#VALUE!</v>
      </c>
      <c r="K118" s="44" t="e">
        <f>+Tabla_Consulta_desde_Dominios_GUIAIII[[#This Row],[BAJO]]/Tabla_Consulta_desde_Dominios_GUIAIII[[#This Row],[TOTAL]]</f>
        <v>#VALUE!</v>
      </c>
      <c r="L118" s="44" t="e">
        <f>+Tabla_Consulta_desde_Dominios_GUIAIII[[#This Row],[MEDIO]]/Tabla_Consulta_desde_Dominios_GUIAIII[[#This Row],[TOTAL]]</f>
        <v>#VALUE!</v>
      </c>
      <c r="M118" s="44" t="e">
        <f>+Tabla_Consulta_desde_Dominios_GUIAIII[[#This Row],[ALTO]]/Tabla_Consulta_desde_Dominios_GUIAIII[[#This Row],[TOTAL]]</f>
        <v>#VALUE!</v>
      </c>
      <c r="N118" s="44" t="e">
        <f>+Tabla_Consulta_desde_Dominios_GUIAIII[[#This Row],[MUY ALTO]]/Tabla_Consulta_desde_Dominios_GUIAIII[[#This Row],[TOTAL]]</f>
        <v>#VALUE!</v>
      </c>
      <c r="O118" s="14" t="e">
        <f>+Tabla_Consulta_desde_Dominios_GUIAIII[[#This Row],[TOTAL]]/Tabla_Consulta_desde_Dominios_GUIAIII[[#This Row],[TOTAL]]</f>
        <v>#VALUE!</v>
      </c>
    </row>
    <row r="119" spans="1:15" ht="23.5" x14ac:dyDescent="0.55000000000000004">
      <c r="A119" s="34"/>
      <c r="B119" s="34"/>
      <c r="C119" s="34"/>
      <c r="D119" s="34"/>
      <c r="E119" s="34"/>
      <c r="F119" s="34"/>
      <c r="G119" s="34"/>
    </row>
    <row r="120" spans="1:15" ht="23.5" x14ac:dyDescent="0.55000000000000004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</row>
    <row r="121" spans="1:15" ht="23.5" x14ac:dyDescent="0.55000000000000004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</row>
    <row r="122" spans="1:15" ht="23.5" x14ac:dyDescent="0.55000000000000004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</row>
    <row r="123" spans="1:15" ht="23.5" x14ac:dyDescent="0.55000000000000004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</row>
    <row r="124" spans="1:15" ht="23.5" x14ac:dyDescent="0.5500000000000000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</row>
    <row r="125" spans="1:15" ht="23.5" x14ac:dyDescent="0.55000000000000004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</row>
    <row r="126" spans="1:15" ht="23.5" x14ac:dyDescent="0.55000000000000004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</row>
    <row r="127" spans="1:15" ht="23.5" x14ac:dyDescent="0.55000000000000004">
      <c r="H127" s="34"/>
      <c r="I127" s="34"/>
      <c r="J127" s="34"/>
      <c r="K127" s="34"/>
      <c r="L127" s="34"/>
      <c r="M127" s="34"/>
    </row>
    <row r="128" spans="1:15" ht="23.5" x14ac:dyDescent="0.55000000000000004">
      <c r="H128" s="34"/>
      <c r="I128" s="34"/>
      <c r="J128" s="34"/>
      <c r="K128" s="34"/>
      <c r="L128" s="34"/>
      <c r="M128" s="34"/>
    </row>
    <row r="129" spans="8:13" ht="23.5" x14ac:dyDescent="0.55000000000000004">
      <c r="H129" s="34"/>
      <c r="I129" s="34"/>
      <c r="J129" s="34"/>
      <c r="K129" s="34"/>
      <c r="L129" s="34"/>
      <c r="M129" s="34"/>
    </row>
    <row r="130" spans="8:13" ht="23.5" x14ac:dyDescent="0.55000000000000004">
      <c r="H130" s="34"/>
      <c r="I130" s="34"/>
      <c r="J130" s="34"/>
      <c r="K130" s="34"/>
      <c r="L130" s="34"/>
      <c r="M130" s="34"/>
    </row>
    <row r="131" spans="8:13" ht="23.5" x14ac:dyDescent="0.55000000000000004">
      <c r="H131" s="34"/>
      <c r="I131" s="34"/>
      <c r="J131" s="34"/>
      <c r="K131" s="34"/>
      <c r="L131" s="34"/>
      <c r="M131" s="34"/>
    </row>
    <row r="132" spans="8:13" ht="23.5" x14ac:dyDescent="0.55000000000000004">
      <c r="H132" s="34"/>
      <c r="I132" s="34"/>
      <c r="J132" s="34"/>
      <c r="K132" s="34"/>
      <c r="L132" s="34"/>
      <c r="M132" s="34"/>
    </row>
    <row r="133" spans="8:13" ht="23.5" x14ac:dyDescent="0.55000000000000004">
      <c r="H133" s="34"/>
      <c r="I133" s="34"/>
      <c r="J133" s="34"/>
      <c r="K133" s="34"/>
      <c r="L133" s="34"/>
      <c r="M133" s="34"/>
    </row>
    <row r="134" spans="8:13" ht="23.5" x14ac:dyDescent="0.55000000000000004">
      <c r="H134" s="34"/>
      <c r="I134" s="34"/>
      <c r="J134" s="34"/>
      <c r="K134" s="34"/>
      <c r="L134" s="34"/>
      <c r="M134" s="34"/>
    </row>
    <row r="135" spans="8:13" ht="23.5" x14ac:dyDescent="0.55000000000000004">
      <c r="H135" s="34"/>
      <c r="I135" s="34"/>
      <c r="J135" s="34"/>
      <c r="K135" s="34"/>
      <c r="L135" s="34"/>
      <c r="M135" s="34"/>
    </row>
    <row r="164" spans="1:15" x14ac:dyDescent="0.35">
      <c r="A164" t="s">
        <v>25</v>
      </c>
      <c r="B164" t="s">
        <v>19</v>
      </c>
      <c r="C164" t="s">
        <v>18</v>
      </c>
      <c r="D164" t="s">
        <v>22</v>
      </c>
      <c r="E164" t="s">
        <v>20</v>
      </c>
      <c r="F164" t="s">
        <v>21</v>
      </c>
      <c r="G164" t="s">
        <v>24</v>
      </c>
    </row>
    <row r="171" spans="1:15" ht="23.5" x14ac:dyDescent="0.55000000000000004">
      <c r="E171" s="34"/>
      <c r="F171" s="34"/>
      <c r="G171" s="34"/>
    </row>
    <row r="173" spans="1:15" x14ac:dyDescent="0.35">
      <c r="I173" s="15" t="s">
        <v>23</v>
      </c>
      <c r="J173" s="13" t="s">
        <v>19</v>
      </c>
      <c r="K173" s="13" t="s">
        <v>18</v>
      </c>
      <c r="L173" s="13" t="s">
        <v>22</v>
      </c>
      <c r="M173" s="13" t="s">
        <v>20</v>
      </c>
      <c r="N173" s="13" t="s">
        <v>21</v>
      </c>
      <c r="O173" s="13" t="s">
        <v>24</v>
      </c>
    </row>
    <row r="174" spans="1:15" x14ac:dyDescent="0.35">
      <c r="I174" s="1" t="s">
        <v>33</v>
      </c>
      <c r="J174" s="44" t="e">
        <f>+Tabla_Consulta_desde_Categorias_GUIAIII[[#This Row],[NULO]]/Tabla_Consulta_desde_Categorias_GUIAIII[[#This Row],[TOTAL]]</f>
        <v>#VALUE!</v>
      </c>
      <c r="K174" s="44" t="e">
        <f>+Tabla_Consulta_desde_Categorias_GUIAIII[[#This Row],[BAJO]]/Tabla_Consulta_desde_Categorias_GUIAIII[[#This Row],[TOTAL]]</f>
        <v>#VALUE!</v>
      </c>
      <c r="L174" s="44" t="e">
        <f>+Tabla_Consulta_desde_Categorias_GUIAIII[[#This Row],[MEDIO]]/Tabla_Consulta_desde_Categorias_GUIAIII[[#This Row],[TOTAL]]</f>
        <v>#VALUE!</v>
      </c>
      <c r="M174" s="44" t="e">
        <f>+Tabla_Consulta_desde_Categorias_GUIAIII[[#This Row],[ALTO]]/Tabla_Consulta_desde_Categorias_GUIAIII[[#This Row],[TOTAL]]</f>
        <v>#VALUE!</v>
      </c>
      <c r="N174" s="44" t="e">
        <f>+Tabla_Consulta_desde_Categorias_GUIAIII[[#This Row],[MUY ALTO]]/Tabla_Consulta_desde_Categorias_GUIAIII[[#This Row],[TOTAL]]</f>
        <v>#VALUE!</v>
      </c>
      <c r="O174" s="44" t="e">
        <f>+Tabla_Consulta_desde_Categorias_GUIAIII[[#This Row],[TOTAL]]/Tabla_Consulta_desde_Categorias_GUIAIII[[#This Row],[TOTAL]]</f>
        <v>#VALUE!</v>
      </c>
    </row>
    <row r="175" spans="1:15" ht="23.5" x14ac:dyDescent="0.55000000000000004">
      <c r="H175" s="34"/>
      <c r="I175" s="35" t="s">
        <v>94</v>
      </c>
      <c r="J175" s="44" t="e">
        <f>+Tabla_Consulta_desde_Categorias_GUIAIII[[#This Row],[NULO]]/Tabla_Consulta_desde_Categorias_GUIAIII[[#This Row],[TOTAL]]</f>
        <v>#VALUE!</v>
      </c>
      <c r="K175" s="44" t="e">
        <f>+Tabla_Consulta_desde_Categorias_GUIAIII[[#This Row],[BAJO]]/Tabla_Consulta_desde_Categorias_GUIAIII[[#This Row],[TOTAL]]</f>
        <v>#VALUE!</v>
      </c>
      <c r="L175" s="44" t="e">
        <f>+Tabla_Consulta_desde_Categorias_GUIAIII[[#This Row],[MEDIO]]/Tabla_Consulta_desde_Categorias_GUIAIII[[#This Row],[TOTAL]]</f>
        <v>#VALUE!</v>
      </c>
      <c r="M175" s="44" t="e">
        <f>+Tabla_Consulta_desde_Categorias_GUIAIII[[#This Row],[ALTO]]/Tabla_Consulta_desde_Categorias_GUIAIII[[#This Row],[TOTAL]]</f>
        <v>#VALUE!</v>
      </c>
      <c r="N175" s="44" t="e">
        <f>+Tabla_Consulta_desde_Categorias_GUIAIII[[#This Row],[MUY ALTO]]/Tabla_Consulta_desde_Categorias_GUIAIII[[#This Row],[TOTAL]]</f>
        <v>#VALUE!</v>
      </c>
      <c r="O175" s="44" t="e">
        <f>+Tabla_Consulta_desde_Categorias_GUIAIII[[#This Row],[TOTAL]]/Tabla_Consulta_desde_Categorias_GUIAIII[[#This Row],[TOTAL]]</f>
        <v>#VALUE!</v>
      </c>
    </row>
    <row r="176" spans="1:15" x14ac:dyDescent="0.35">
      <c r="I176" s="1" t="s">
        <v>34</v>
      </c>
      <c r="J176" s="44" t="e">
        <f>+Tabla_Consulta_desde_Categorias_GUIAIII[[#This Row],[NULO]]/Tabla_Consulta_desde_Categorias_GUIAIII[[#This Row],[TOTAL]]</f>
        <v>#VALUE!</v>
      </c>
      <c r="K176" s="44" t="e">
        <f>+Tabla_Consulta_desde_Categorias_GUIAIII[[#This Row],[BAJO]]/Tabla_Consulta_desde_Categorias_GUIAIII[[#This Row],[TOTAL]]</f>
        <v>#VALUE!</v>
      </c>
      <c r="L176" s="44" t="e">
        <f>+Tabla_Consulta_desde_Categorias_GUIAIII[[#This Row],[MEDIO]]/Tabla_Consulta_desde_Categorias_GUIAIII[[#This Row],[TOTAL]]</f>
        <v>#VALUE!</v>
      </c>
      <c r="M176" s="44" t="e">
        <f>+Tabla_Consulta_desde_Categorias_GUIAIII[[#This Row],[ALTO]]/Tabla_Consulta_desde_Categorias_GUIAIII[[#This Row],[TOTAL]]</f>
        <v>#VALUE!</v>
      </c>
      <c r="N176" s="44" t="e">
        <f>+Tabla_Consulta_desde_Categorias_GUIAIII[[#This Row],[MUY ALTO]]/Tabla_Consulta_desde_Categorias_GUIAIII[[#This Row],[TOTAL]]</f>
        <v>#VALUE!</v>
      </c>
      <c r="O176" s="44" t="e">
        <f>+Tabla_Consulta_desde_Categorias_GUIAIII[[#This Row],[TOTAL]]/Tabla_Consulta_desde_Categorias_GUIAIII[[#This Row],[TOTAL]]</f>
        <v>#VALUE!</v>
      </c>
    </row>
    <row r="177" spans="1:15" x14ac:dyDescent="0.35">
      <c r="I177" s="35" t="s">
        <v>35</v>
      </c>
      <c r="J177" s="44" t="e">
        <f>+Tabla_Consulta_desde_Categorias_GUIAIII[[#This Row],[NULO]]/Tabla_Consulta_desde_Categorias_GUIAIII[[#This Row],[TOTAL]]</f>
        <v>#VALUE!</v>
      </c>
      <c r="K177" s="44" t="e">
        <f>+Tabla_Consulta_desde_Categorias_GUIAIII[[#This Row],[BAJO]]/Tabla_Consulta_desde_Categorias_GUIAIII[[#This Row],[TOTAL]]</f>
        <v>#VALUE!</v>
      </c>
      <c r="L177" s="44" t="e">
        <f>+Tabla_Consulta_desde_Categorias_GUIAIII[[#This Row],[MEDIO]]/Tabla_Consulta_desde_Categorias_GUIAIII[[#This Row],[TOTAL]]</f>
        <v>#VALUE!</v>
      </c>
      <c r="M177" s="44" t="e">
        <f>+Tabla_Consulta_desde_Categorias_GUIAIII[[#This Row],[ALTO]]/Tabla_Consulta_desde_Categorias_GUIAIII[[#This Row],[TOTAL]]</f>
        <v>#VALUE!</v>
      </c>
      <c r="N177" s="44" t="e">
        <f>+Tabla_Consulta_desde_Categorias_GUIAIII[[#This Row],[MUY ALTO]]/Tabla_Consulta_desde_Categorias_GUIAIII[[#This Row],[TOTAL]]</f>
        <v>#VALUE!</v>
      </c>
      <c r="O177" s="44" t="e">
        <f>+Tabla_Consulta_desde_Categorias_GUIAIII[[#This Row],[TOTAL]]/Tabla_Consulta_desde_Categorias_GUIAIII[[#This Row],[TOTAL]]</f>
        <v>#VALUE!</v>
      </c>
    </row>
    <row r="178" spans="1:15" x14ac:dyDescent="0.35">
      <c r="I178" s="1" t="s">
        <v>36</v>
      </c>
      <c r="J178" s="44" t="e">
        <f>+Tabla_Consulta_desde_Categorias_GUIAIII[[#This Row],[NULO]]/Tabla_Consulta_desde_Categorias_GUIAIII[[#This Row],[TOTAL]]</f>
        <v>#VALUE!</v>
      </c>
      <c r="K178" s="44" t="e">
        <f>+Tabla_Consulta_desde_Categorias_GUIAIII[[#This Row],[BAJO]]/Tabla_Consulta_desde_Categorias_GUIAIII[[#This Row],[TOTAL]]</f>
        <v>#VALUE!</v>
      </c>
      <c r="L178" s="44" t="e">
        <f>+Tabla_Consulta_desde_Categorias_GUIAIII[[#This Row],[MEDIO]]/Tabla_Consulta_desde_Categorias_GUIAIII[[#This Row],[TOTAL]]</f>
        <v>#VALUE!</v>
      </c>
      <c r="M178" s="44" t="e">
        <f>+Tabla_Consulta_desde_Categorias_GUIAIII[[#This Row],[ALTO]]/Tabla_Consulta_desde_Categorias_GUIAIII[[#This Row],[TOTAL]]</f>
        <v>#VALUE!</v>
      </c>
      <c r="N178" s="44" t="e">
        <f>+Tabla_Consulta_desde_Categorias_GUIAIII[[#This Row],[MUY ALTO]]/Tabla_Consulta_desde_Categorias_GUIAIII[[#This Row],[TOTAL]]</f>
        <v>#VALUE!</v>
      </c>
      <c r="O178" s="44" t="e">
        <f>+Tabla_Consulta_desde_Categorias_GUIAIII[[#This Row],[TOTAL]]/Tabla_Consulta_desde_Categorias_GUIAIII[[#This Row],[TOTAL]]</f>
        <v>#VALUE!</v>
      </c>
    </row>
    <row r="188" spans="1:15" x14ac:dyDescent="0.35">
      <c r="A188" t="s">
        <v>28</v>
      </c>
      <c r="B188" t="s">
        <v>19</v>
      </c>
      <c r="C188" t="s">
        <v>18</v>
      </c>
      <c r="D188" t="s">
        <v>22</v>
      </c>
      <c r="E188" t="s">
        <v>20</v>
      </c>
      <c r="F188" t="s">
        <v>21</v>
      </c>
      <c r="G188" t="s">
        <v>24</v>
      </c>
    </row>
    <row r="201" spans="9:15" x14ac:dyDescent="0.35">
      <c r="I201" s="15" t="s">
        <v>23</v>
      </c>
      <c r="J201" s="13" t="s">
        <v>19</v>
      </c>
      <c r="K201" s="13" t="s">
        <v>18</v>
      </c>
      <c r="L201" s="13" t="s">
        <v>22</v>
      </c>
      <c r="M201" s="13" t="s">
        <v>20</v>
      </c>
      <c r="N201" s="13" t="s">
        <v>21</v>
      </c>
      <c r="O201" s="13" t="s">
        <v>24</v>
      </c>
    </row>
    <row r="202" spans="9:15" x14ac:dyDescent="0.35">
      <c r="I202" s="1" t="s">
        <v>29</v>
      </c>
      <c r="J202" s="44" t="e">
        <f>+Tabla_Consulta_desde_Cuestionario_GUIAIII[[#This Row],[NULO]]/Tabla_Consulta_desde_Cuestionario_GUIAIII[[#This Row],[TOTAL]]</f>
        <v>#VALUE!</v>
      </c>
      <c r="K202" s="44" t="e">
        <f>+Tabla_Consulta_desde_Cuestionario_GUIAIII[[#This Row],[BAJO]]/Tabla_Consulta_desde_Cuestionario_GUIAIII[[#This Row],[TOTAL]]</f>
        <v>#VALUE!</v>
      </c>
      <c r="L202" s="44" t="e">
        <f>+Tabla_Consulta_desde_Cuestionario_GUIAIII[[#This Row],[MEDIO]]/Tabla_Consulta_desde_Cuestionario_GUIAIII[[#This Row],[TOTAL]]</f>
        <v>#VALUE!</v>
      </c>
      <c r="M202" s="44" t="e">
        <f>+Tabla_Consulta_desde_Cuestionario_GUIAIII[[#This Row],[ALTO]]/Tabla_Consulta_desde_Cuestionario_GUIAIII[[#This Row],[TOTAL]]</f>
        <v>#VALUE!</v>
      </c>
      <c r="N202" s="44" t="e">
        <f>+Tabla_Consulta_desde_Cuestionario_GUIAIII[[#This Row],[MUY ALTO]]/Tabla_Consulta_desde_Cuestionario_GUIAIII[[#This Row],[TOTAL]]</f>
        <v>#VALUE!</v>
      </c>
      <c r="O202" s="44" t="e">
        <f>+Tabla_Consulta_desde_Cuestionario_GUIAIII[[#This Row],[TOTAL]]/Tabla_Consulta_desde_Cuestionario_GUIAIII[[#This Row],[TOTAL]]</f>
        <v>#VALUE!</v>
      </c>
    </row>
  </sheetData>
  <mergeCells count="1">
    <mergeCell ref="A1:P2"/>
  </mergeCells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EAD405-C64B-4F88-8E0A-27EDC7ED1E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</vt:lpstr>
      <vt:lpstr>Matriz GuiaV</vt:lpstr>
      <vt:lpstr>AtencionClinica (Guia I)</vt:lpstr>
      <vt:lpstr>Exposición Homogenea (Guia II) </vt:lpstr>
      <vt:lpstr>Graficas Anexo 2 (Guia II)</vt:lpstr>
      <vt:lpstr>Exposición Homogenea (Guia III)</vt:lpstr>
      <vt:lpstr>Graficas Guia de Referencia 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RGR</dc:creator>
  <cp:lastModifiedBy>Manuel Antonio Guillén Gómez</cp:lastModifiedBy>
  <dcterms:created xsi:type="dcterms:W3CDTF">2021-08-29T19:46:30Z</dcterms:created>
  <dcterms:modified xsi:type="dcterms:W3CDTF">2026-08-29T06:49:03Z</dcterms:modified>
</cp:coreProperties>
</file>